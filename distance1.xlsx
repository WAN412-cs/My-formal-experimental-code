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陈晓华\网络虚拟化\学生\杨介帅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0" i="2" l="1"/>
  <c r="E80" i="2"/>
  <c r="F80" i="2"/>
  <c r="D81" i="2"/>
  <c r="E81" i="2"/>
  <c r="F81" i="2"/>
  <c r="D82" i="2"/>
  <c r="E82" i="2"/>
  <c r="F82" i="2"/>
  <c r="F82" i="1"/>
  <c r="G82" i="1"/>
  <c r="C82" i="1" s="1"/>
  <c r="D82" i="1"/>
  <c r="E82" i="1"/>
  <c r="F81" i="1"/>
  <c r="G81" i="1"/>
  <c r="C81" i="1" s="1"/>
  <c r="D81" i="1"/>
  <c r="E81" i="1"/>
  <c r="F80" i="1"/>
  <c r="G80" i="1"/>
  <c r="C80" i="1" s="1"/>
  <c r="D80" i="1"/>
  <c r="E80" i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3" i="2"/>
  <c r="K4" i="2"/>
  <c r="K5" i="2"/>
  <c r="K6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K2" i="2"/>
  <c r="J2" i="2"/>
  <c r="D5" i="2"/>
  <c r="E5" i="2"/>
  <c r="F5" i="2"/>
  <c r="D7" i="2"/>
  <c r="E7" i="2"/>
  <c r="D9" i="2"/>
  <c r="E9" i="2"/>
  <c r="F2" i="2"/>
  <c r="F3" i="2"/>
  <c r="F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1" i="2"/>
  <c r="E3" i="2"/>
  <c r="E4" i="2"/>
  <c r="E6" i="2"/>
  <c r="E8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2" i="2"/>
  <c r="D2" i="2"/>
  <c r="D6" i="2"/>
  <c r="D8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3" i="2"/>
  <c r="D4" i="2"/>
  <c r="E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C44" i="1" s="1"/>
  <c r="D45" i="1"/>
  <c r="E45" i="1"/>
  <c r="F45" i="1"/>
  <c r="G45" i="1"/>
  <c r="C45" i="1" s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78" i="1"/>
  <c r="D79" i="1"/>
  <c r="E79" i="1"/>
  <c r="F79" i="1"/>
  <c r="G79" i="1"/>
  <c r="F2" i="1"/>
  <c r="G2" i="1"/>
  <c r="D2" i="1"/>
</calcChain>
</file>

<file path=xl/sharedStrings.xml><?xml version="1.0" encoding="utf-8"?>
<sst xmlns="http://schemas.openxmlformats.org/spreadsheetml/2006/main" count="403" uniqueCount="76">
  <si>
    <t>from</t>
    <phoneticPr fontId="1" type="noConversion"/>
  </si>
  <si>
    <t>to</t>
    <phoneticPr fontId="1" type="noConversion"/>
  </si>
  <si>
    <t>Glasgow</t>
    <phoneticPr fontId="1" type="noConversion"/>
  </si>
  <si>
    <t>Dublin</t>
    <phoneticPr fontId="1" type="noConversion"/>
  </si>
  <si>
    <t>Amsterdam</t>
    <phoneticPr fontId="1" type="noConversion"/>
  </si>
  <si>
    <t>London</t>
    <phoneticPr fontId="1" type="noConversion"/>
  </si>
  <si>
    <t>Paris</t>
    <phoneticPr fontId="1" type="noConversion"/>
  </si>
  <si>
    <t>Frankfurt</t>
  </si>
  <si>
    <t>Frankfurt</t>
    <phoneticPr fontId="1" type="noConversion"/>
  </si>
  <si>
    <t>Brusssels</t>
    <phoneticPr fontId="1" type="noConversion"/>
  </si>
  <si>
    <t>Strasbourg</t>
    <phoneticPr fontId="1" type="noConversion"/>
  </si>
  <si>
    <t>Lyon</t>
    <phoneticPr fontId="1" type="noConversion"/>
  </si>
  <si>
    <t>Bordeaux</t>
    <phoneticPr fontId="1" type="noConversion"/>
  </si>
  <si>
    <t>Madrid</t>
  </si>
  <si>
    <t>Madrid</t>
    <phoneticPr fontId="1" type="noConversion"/>
  </si>
  <si>
    <t>Barcelona</t>
    <phoneticPr fontId="1" type="noConversion"/>
  </si>
  <si>
    <t>Zurich</t>
    <phoneticPr fontId="1" type="noConversion"/>
  </si>
  <si>
    <t>Milan</t>
    <phoneticPr fontId="1" type="noConversion"/>
  </si>
  <si>
    <t>Munich</t>
    <phoneticPr fontId="1" type="noConversion"/>
  </si>
  <si>
    <t>Rome</t>
    <phoneticPr fontId="1" type="noConversion"/>
  </si>
  <si>
    <t>Athens</t>
  </si>
  <si>
    <t>Athens</t>
    <phoneticPr fontId="1" type="noConversion"/>
  </si>
  <si>
    <t>Belgrade</t>
  </si>
  <si>
    <t>Belgrade</t>
    <phoneticPr fontId="1" type="noConversion"/>
  </si>
  <si>
    <t>Zagreb</t>
    <phoneticPr fontId="1" type="noConversion"/>
  </si>
  <si>
    <t>Budapest</t>
    <phoneticPr fontId="1" type="noConversion"/>
  </si>
  <si>
    <t>Prague</t>
    <phoneticPr fontId="1" type="noConversion"/>
  </si>
  <si>
    <t>Warsaq</t>
  </si>
  <si>
    <t>Warsaq</t>
    <phoneticPr fontId="1" type="noConversion"/>
  </si>
  <si>
    <t>Stockholm</t>
    <phoneticPr fontId="1" type="noConversion"/>
  </si>
  <si>
    <t>Berlin</t>
  </si>
  <si>
    <t>Berlin</t>
    <phoneticPr fontId="1" type="noConversion"/>
  </si>
  <si>
    <t>Copenhagen</t>
    <phoneticPr fontId="1" type="noConversion"/>
  </si>
  <si>
    <t>Hamburg</t>
    <phoneticPr fontId="1" type="noConversion"/>
  </si>
  <si>
    <t>Vienna</t>
    <phoneticPr fontId="1" type="noConversion"/>
  </si>
  <si>
    <t>Oslo</t>
    <phoneticPr fontId="1" type="noConversion"/>
  </si>
  <si>
    <t>city</t>
    <phoneticPr fontId="1" type="noConversion"/>
  </si>
  <si>
    <t>Latitude</t>
  </si>
  <si>
    <t>Longitude</t>
  </si>
  <si>
    <t>from Latitude</t>
    <phoneticPr fontId="1" type="noConversion"/>
  </si>
  <si>
    <t>to longitude</t>
    <phoneticPr fontId="1" type="noConversion"/>
  </si>
  <si>
    <t>to latitude</t>
    <phoneticPr fontId="1" type="noConversion"/>
  </si>
  <si>
    <t>distances(m)</t>
    <phoneticPr fontId="1" type="noConversion"/>
  </si>
  <si>
    <t>copenhagen</t>
    <phoneticPr fontId="1" type="noConversion"/>
  </si>
  <si>
    <t xml:space="preserve">from longitude </t>
    <phoneticPr fontId="1" type="noConversion"/>
  </si>
  <si>
    <t>from</t>
  </si>
  <si>
    <t>to</t>
  </si>
  <si>
    <t>distances(m)</t>
  </si>
  <si>
    <t>Glasgow</t>
  </si>
  <si>
    <t>Dublin</t>
  </si>
  <si>
    <t>Amsterdam</t>
  </si>
  <si>
    <t>London</t>
  </si>
  <si>
    <t>Paris</t>
  </si>
  <si>
    <t>Brusssels</t>
  </si>
  <si>
    <t>Strasbourg</t>
  </si>
  <si>
    <t>Lyon</t>
  </si>
  <si>
    <t>Bordeaux</t>
  </si>
  <si>
    <t>Barcelona</t>
  </si>
  <si>
    <t>Zurich</t>
  </si>
  <si>
    <t>Milan</t>
  </si>
  <si>
    <t>Munich</t>
  </si>
  <si>
    <t>Rome</t>
  </si>
  <si>
    <t>Zagreb</t>
  </si>
  <si>
    <t>Budapest</t>
  </si>
  <si>
    <t>Prague</t>
  </si>
  <si>
    <t>Stockholm</t>
  </si>
  <si>
    <t>copenhagen</t>
  </si>
  <si>
    <t>Hamburg</t>
  </si>
  <si>
    <t>Vienna</t>
  </si>
  <si>
    <t>Copenhagen</t>
  </si>
  <si>
    <t>Oslo</t>
  </si>
  <si>
    <t>number</t>
    <phoneticPr fontId="1" type="noConversion"/>
  </si>
  <si>
    <t xml:space="preserve">to </t>
  </si>
  <si>
    <t xml:space="preserve">to </t>
    <phoneticPr fontId="1" type="noConversion"/>
  </si>
  <si>
    <t>distance</t>
  </si>
  <si>
    <t>distance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</si>
</sst>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26</xdr:col>
      <xdr:colOff>647700</xdr:colOff>
      <xdr:row>25</xdr:row>
      <xdr:rowOff>133350</xdr:rowOff>
    </xdr:to>
    <xdr:pic>
      <xdr:nvPicPr>
        <xdr:cNvPr id="2" name="图片 1" descr="https://img-blog.csdnimg.cn/20190510234908976.png?x-oss-process=image/watermark,type_ZmFuZ3poZW5naGVpdGk,shadow_10,text_aHR0cHM6Ly9ibG9nLmNzZG4ubmV0L3UwMTM0ODc3NjE=,size_16,color_FFFFFF,t_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0100" y="361950"/>
          <a:ext cx="9563100" cy="429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workbookViewId="0">
      <selection activeCell="A64" sqref="A64:C64"/>
    </sheetView>
  </sheetViews>
  <sheetFormatPr defaultRowHeight="14.25" x14ac:dyDescent="0.2"/>
  <cols>
    <col min="1" max="1" width="15.375" customWidth="1"/>
    <col min="2" max="2" width="16.125" customWidth="1"/>
    <col min="3" max="3" width="13.125" customWidth="1"/>
    <col min="4" max="4" width="14" customWidth="1"/>
    <col min="5" max="5" width="16.125" customWidth="1"/>
    <col min="6" max="6" width="15.25" customWidth="1"/>
    <col min="7" max="7" width="12.375" customWidth="1"/>
  </cols>
  <sheetData>
    <row r="1" spans="1:10" x14ac:dyDescent="0.2">
      <c r="A1" t="s">
        <v>0</v>
      </c>
      <c r="B1" t="s">
        <v>1</v>
      </c>
      <c r="C1" s="1" t="s">
        <v>42</v>
      </c>
      <c r="D1" t="s">
        <v>44</v>
      </c>
      <c r="E1" t="s">
        <v>39</v>
      </c>
      <c r="F1" t="s">
        <v>40</v>
      </c>
      <c r="G1" t="s">
        <v>41</v>
      </c>
      <c r="H1" t="s">
        <v>36</v>
      </c>
      <c r="I1" t="s">
        <v>37</v>
      </c>
      <c r="J1" t="s">
        <v>38</v>
      </c>
    </row>
    <row r="2" spans="1:10" x14ac:dyDescent="0.2">
      <c r="A2" t="s">
        <v>2</v>
      </c>
      <c r="B2" t="s">
        <v>3</v>
      </c>
      <c r="C2">
        <f>6371004*ACOS(1-(POWER((SIN((90-E2)*PI()/180)*COS(D2*PI()/180)-SIN((90-G2)*PI()/180)*COS(F2*PI()/180)),2)+POWER((SIN((90-E2)*PI()/180)*SIN(D2*PI()/180)-SIN((90-G2)*PI()/180)*SIN(F2*PI()/180)),2)+POWER((COS((90-E2)*PI()/180)-COS((90-G2)*PI()/180)),2))/2)</f>
        <v>308032.65785887057</v>
      </c>
      <c r="D2">
        <f>VLOOKUP(A2,H$2:J$29,3,0)</f>
        <v>-4.2518060000000002</v>
      </c>
      <c r="E2">
        <f>VLOOKUP(A2,H$2:J$29,2,0)</f>
        <v>55.864238999999998</v>
      </c>
      <c r="F2">
        <f>VLOOKUP(B2,H$2:J$29,3,0)</f>
        <v>-6.2603099999999996</v>
      </c>
      <c r="G2">
        <f>VLOOKUP(B2,H$2:J$29,2,0)</f>
        <v>53.349803999999999</v>
      </c>
      <c r="H2" t="s">
        <v>6</v>
      </c>
      <c r="I2">
        <v>48.856613000000003</v>
      </c>
      <c r="J2">
        <v>2.3522219999999998</v>
      </c>
    </row>
    <row r="3" spans="1:10" x14ac:dyDescent="0.2">
      <c r="A3" t="s">
        <v>2</v>
      </c>
      <c r="B3" t="s">
        <v>4</v>
      </c>
      <c r="C3">
        <f t="shared" ref="C3:C66" si="0">6371004*ACOS(1-(POWER((SIN((90-E3)*PI()/180)*COS(D3*PI()/180)-SIN((90-G3)*PI()/180)*COS(F3*PI()/180)),2)+POWER((SIN((90-E3)*PI()/180)*SIN(D3*PI()/180)-SIN((90-G3)*PI()/180)*SIN(F3*PI()/180)),2)+POWER((COS((90-E3)*PI()/180)-COS((90-G3)*PI()/180)),2))/2)</f>
        <v>710707.01542218647</v>
      </c>
      <c r="D3">
        <f t="shared" ref="D3:D66" si="1">VLOOKUP(A3,H$2:J$29,3,0)</f>
        <v>-4.2518060000000002</v>
      </c>
      <c r="E3">
        <f t="shared" ref="E3:E66" si="2">VLOOKUP(A3,H$2:J$29,2,0)</f>
        <v>55.864238999999998</v>
      </c>
      <c r="F3">
        <f t="shared" ref="F3:F66" si="3">VLOOKUP(B3,H$2:J$29,3,0)</f>
        <v>4.895168</v>
      </c>
      <c r="G3">
        <f t="shared" ref="G3:G66" si="4">VLOOKUP(B3,H$2:J$29,2,0)</f>
        <v>52.370215999999999</v>
      </c>
      <c r="H3" t="s">
        <v>2</v>
      </c>
      <c r="I3">
        <v>55.864238999999998</v>
      </c>
      <c r="J3">
        <v>-4.2518060000000002</v>
      </c>
    </row>
    <row r="4" spans="1:10" x14ac:dyDescent="0.2">
      <c r="A4" t="s">
        <v>3</v>
      </c>
      <c r="B4" t="s">
        <v>5</v>
      </c>
      <c r="C4">
        <f t="shared" si="0"/>
        <v>463317.29825375322</v>
      </c>
      <c r="D4">
        <f t="shared" si="1"/>
        <v>-6.2603099999999996</v>
      </c>
      <c r="E4">
        <f t="shared" si="2"/>
        <v>53.349803999999999</v>
      </c>
      <c r="F4">
        <f t="shared" si="3"/>
        <v>-0.12775800000000001</v>
      </c>
      <c r="G4">
        <f t="shared" si="4"/>
        <v>51.507351</v>
      </c>
      <c r="H4" t="s">
        <v>3</v>
      </c>
      <c r="I4">
        <v>53.349803999999999</v>
      </c>
      <c r="J4">
        <v>-6.2603099999999996</v>
      </c>
    </row>
    <row r="5" spans="1:10" x14ac:dyDescent="0.2">
      <c r="A5" t="s">
        <v>3</v>
      </c>
      <c r="B5" t="s">
        <v>2</v>
      </c>
      <c r="C5">
        <f t="shared" si="0"/>
        <v>308032.65785887057</v>
      </c>
      <c r="D5">
        <f t="shared" si="1"/>
        <v>-6.2603099999999996</v>
      </c>
      <c r="E5">
        <f t="shared" si="2"/>
        <v>53.349803999999999</v>
      </c>
      <c r="F5">
        <f t="shared" si="3"/>
        <v>-4.2518060000000002</v>
      </c>
      <c r="G5">
        <f t="shared" si="4"/>
        <v>55.864238999999998</v>
      </c>
      <c r="H5" t="s">
        <v>5</v>
      </c>
      <c r="I5">
        <v>51.507351</v>
      </c>
      <c r="J5">
        <v>-0.12775800000000001</v>
      </c>
    </row>
    <row r="6" spans="1:10" x14ac:dyDescent="0.2">
      <c r="A6" t="s">
        <v>5</v>
      </c>
      <c r="B6" t="s">
        <v>4</v>
      </c>
      <c r="C6">
        <f t="shared" si="0"/>
        <v>357365.16517071368</v>
      </c>
      <c r="D6">
        <f t="shared" si="1"/>
        <v>-0.12775800000000001</v>
      </c>
      <c r="E6">
        <f t="shared" si="2"/>
        <v>51.507351</v>
      </c>
      <c r="F6">
        <f t="shared" si="3"/>
        <v>4.895168</v>
      </c>
      <c r="G6">
        <f t="shared" si="4"/>
        <v>52.370215999999999</v>
      </c>
      <c r="H6" t="s">
        <v>12</v>
      </c>
      <c r="I6">
        <v>44.837788000000003</v>
      </c>
      <c r="J6">
        <v>-0.57918000000000003</v>
      </c>
    </row>
    <row r="7" spans="1:10" x14ac:dyDescent="0.2">
      <c r="A7" t="s">
        <v>5</v>
      </c>
      <c r="B7" t="s">
        <v>3</v>
      </c>
      <c r="C7">
        <f t="shared" si="0"/>
        <v>463317.29825375322</v>
      </c>
      <c r="D7">
        <f t="shared" si="1"/>
        <v>-0.12775800000000001</v>
      </c>
      <c r="E7">
        <f t="shared" si="2"/>
        <v>51.507351</v>
      </c>
      <c r="F7">
        <f t="shared" si="3"/>
        <v>-6.2603099999999996</v>
      </c>
      <c r="G7">
        <f t="shared" si="4"/>
        <v>53.349803999999999</v>
      </c>
      <c r="H7" t="s">
        <v>13</v>
      </c>
      <c r="I7">
        <v>40.416775000000001</v>
      </c>
      <c r="J7">
        <v>-3.7037900000000001</v>
      </c>
    </row>
    <row r="8" spans="1:10" x14ac:dyDescent="0.2">
      <c r="A8" t="s">
        <v>5</v>
      </c>
      <c r="B8" t="s">
        <v>6</v>
      </c>
      <c r="C8">
        <f t="shared" si="0"/>
        <v>343549.6663231898</v>
      </c>
      <c r="D8">
        <f t="shared" si="1"/>
        <v>-0.12775800000000001</v>
      </c>
      <c r="E8">
        <f t="shared" si="2"/>
        <v>51.507351</v>
      </c>
      <c r="F8">
        <f t="shared" si="3"/>
        <v>2.3522219999999998</v>
      </c>
      <c r="G8">
        <f t="shared" si="4"/>
        <v>48.856613000000003</v>
      </c>
      <c r="H8" t="s">
        <v>15</v>
      </c>
      <c r="I8">
        <v>41.385063000000002</v>
      </c>
      <c r="J8">
        <v>2.1734040000000001</v>
      </c>
    </row>
    <row r="9" spans="1:10" x14ac:dyDescent="0.2">
      <c r="A9" t="s">
        <v>6</v>
      </c>
      <c r="B9" t="s">
        <v>5</v>
      </c>
      <c r="C9">
        <f t="shared" si="0"/>
        <v>343549.6663231898</v>
      </c>
      <c r="D9">
        <f t="shared" si="1"/>
        <v>2.3522219999999998</v>
      </c>
      <c r="E9">
        <f t="shared" si="2"/>
        <v>48.856613000000003</v>
      </c>
      <c r="F9">
        <f t="shared" si="3"/>
        <v>-0.12775800000000001</v>
      </c>
      <c r="G9">
        <f t="shared" si="4"/>
        <v>51.507351</v>
      </c>
      <c r="H9" t="s">
        <v>11</v>
      </c>
      <c r="I9">
        <v>45.764042000000003</v>
      </c>
      <c r="J9">
        <v>4.8356589999999997</v>
      </c>
    </row>
    <row r="10" spans="1:10" x14ac:dyDescent="0.2">
      <c r="A10" t="s">
        <v>6</v>
      </c>
      <c r="B10" t="s">
        <v>9</v>
      </c>
      <c r="C10">
        <f t="shared" si="0"/>
        <v>263689.49683502695</v>
      </c>
      <c r="D10">
        <f t="shared" si="1"/>
        <v>2.3522219999999998</v>
      </c>
      <c r="E10">
        <f t="shared" si="2"/>
        <v>48.856613000000003</v>
      </c>
      <c r="F10">
        <f t="shared" si="3"/>
        <v>4.3557100000000002</v>
      </c>
      <c r="G10">
        <f t="shared" si="4"/>
        <v>50.84554</v>
      </c>
      <c r="H10" t="s">
        <v>16</v>
      </c>
      <c r="I10">
        <v>47.376888000000001</v>
      </c>
      <c r="J10">
        <v>8.5416939999999997</v>
      </c>
    </row>
    <row r="11" spans="1:10" x14ac:dyDescent="0.2">
      <c r="A11" t="s">
        <v>6</v>
      </c>
      <c r="B11" t="s">
        <v>10</v>
      </c>
      <c r="C11">
        <f t="shared" si="0"/>
        <v>397338.73684529081</v>
      </c>
      <c r="D11">
        <f t="shared" si="1"/>
        <v>2.3522219999999998</v>
      </c>
      <c r="E11">
        <f t="shared" si="2"/>
        <v>48.856613000000003</v>
      </c>
      <c r="F11">
        <f t="shared" si="3"/>
        <v>7.7521110000000002</v>
      </c>
      <c r="G11">
        <f t="shared" si="4"/>
        <v>48.573405999999999</v>
      </c>
      <c r="H11" t="s">
        <v>17</v>
      </c>
      <c r="I11">
        <v>45.464202999999998</v>
      </c>
      <c r="J11">
        <v>9.1899820000000005</v>
      </c>
    </row>
    <row r="12" spans="1:10" x14ac:dyDescent="0.2">
      <c r="A12" t="s">
        <v>6</v>
      </c>
      <c r="B12" t="s">
        <v>11</v>
      </c>
      <c r="C12">
        <f t="shared" si="0"/>
        <v>391494.03059081285</v>
      </c>
      <c r="D12">
        <f t="shared" si="1"/>
        <v>2.3522219999999998</v>
      </c>
      <c r="E12">
        <f t="shared" si="2"/>
        <v>48.856613000000003</v>
      </c>
      <c r="F12">
        <f t="shared" si="3"/>
        <v>4.8356589999999997</v>
      </c>
      <c r="G12">
        <f t="shared" si="4"/>
        <v>45.764042000000003</v>
      </c>
      <c r="H12" t="s">
        <v>19</v>
      </c>
      <c r="I12">
        <v>41.902782000000002</v>
      </c>
      <c r="J12">
        <v>12.496365000000001</v>
      </c>
    </row>
    <row r="13" spans="1:10" x14ac:dyDescent="0.2">
      <c r="A13" t="s">
        <v>6</v>
      </c>
      <c r="B13" t="s">
        <v>12</v>
      </c>
      <c r="C13">
        <f t="shared" si="0"/>
        <v>499300.49215458217</v>
      </c>
      <c r="D13">
        <f t="shared" si="1"/>
        <v>2.3522219999999998</v>
      </c>
      <c r="E13">
        <f t="shared" si="2"/>
        <v>48.856613000000003</v>
      </c>
      <c r="F13">
        <f t="shared" si="3"/>
        <v>-0.57918000000000003</v>
      </c>
      <c r="G13">
        <f t="shared" si="4"/>
        <v>44.837788000000003</v>
      </c>
      <c r="H13" t="s">
        <v>20</v>
      </c>
      <c r="I13">
        <v>37.983809999999998</v>
      </c>
      <c r="J13">
        <v>23.727539</v>
      </c>
    </row>
    <row r="14" spans="1:10" x14ac:dyDescent="0.2">
      <c r="A14" t="s">
        <v>12</v>
      </c>
      <c r="B14" t="s">
        <v>6</v>
      </c>
      <c r="C14">
        <f t="shared" si="0"/>
        <v>499300.49215458217</v>
      </c>
      <c r="D14">
        <f t="shared" si="1"/>
        <v>-0.57918000000000003</v>
      </c>
      <c r="E14">
        <f t="shared" si="2"/>
        <v>44.837788000000003</v>
      </c>
      <c r="F14">
        <f t="shared" si="3"/>
        <v>2.3522219999999998</v>
      </c>
      <c r="G14">
        <f t="shared" si="4"/>
        <v>48.856613000000003</v>
      </c>
      <c r="H14" t="s">
        <v>22</v>
      </c>
      <c r="I14">
        <v>44.786568000000003</v>
      </c>
      <c r="J14">
        <v>20.448920999999999</v>
      </c>
    </row>
    <row r="15" spans="1:10" x14ac:dyDescent="0.2">
      <c r="A15" t="s">
        <v>12</v>
      </c>
      <c r="B15" t="s">
        <v>14</v>
      </c>
      <c r="C15">
        <f t="shared" si="0"/>
        <v>553979.97494564124</v>
      </c>
      <c r="D15">
        <f t="shared" si="1"/>
        <v>-0.57918000000000003</v>
      </c>
      <c r="E15">
        <f t="shared" si="2"/>
        <v>44.837788000000003</v>
      </c>
      <c r="F15">
        <f t="shared" si="3"/>
        <v>-3.7037900000000001</v>
      </c>
      <c r="G15">
        <f t="shared" si="4"/>
        <v>40.416775000000001</v>
      </c>
      <c r="H15" t="s">
        <v>25</v>
      </c>
      <c r="I15">
        <v>47.497912999999997</v>
      </c>
      <c r="J15">
        <v>19.040236</v>
      </c>
    </row>
    <row r="16" spans="1:10" x14ac:dyDescent="0.2">
      <c r="A16" t="s">
        <v>13</v>
      </c>
      <c r="B16" t="s">
        <v>12</v>
      </c>
      <c r="C16">
        <f t="shared" si="0"/>
        <v>553979.97494564124</v>
      </c>
      <c r="D16">
        <f t="shared" si="1"/>
        <v>-3.7037900000000001</v>
      </c>
      <c r="E16">
        <f t="shared" si="2"/>
        <v>40.416775000000001</v>
      </c>
      <c r="F16">
        <f t="shared" si="3"/>
        <v>-0.57918000000000003</v>
      </c>
      <c r="G16">
        <f t="shared" si="4"/>
        <v>44.837788000000003</v>
      </c>
      <c r="H16" t="s">
        <v>27</v>
      </c>
      <c r="I16">
        <v>52.23498</v>
      </c>
      <c r="J16">
        <v>21.008489999999998</v>
      </c>
    </row>
    <row r="17" spans="1:10" x14ac:dyDescent="0.2">
      <c r="A17" t="s">
        <v>13</v>
      </c>
      <c r="B17" t="s">
        <v>15</v>
      </c>
      <c r="C17">
        <f t="shared" si="0"/>
        <v>505443.23869067477</v>
      </c>
      <c r="D17">
        <f t="shared" si="1"/>
        <v>-3.7037900000000001</v>
      </c>
      <c r="E17">
        <f t="shared" si="2"/>
        <v>40.416775000000001</v>
      </c>
      <c r="F17">
        <f t="shared" si="3"/>
        <v>2.1734040000000001</v>
      </c>
      <c r="G17">
        <f t="shared" si="4"/>
        <v>41.385063000000002</v>
      </c>
      <c r="H17" t="s">
        <v>30</v>
      </c>
      <c r="I17">
        <v>52.520007999999997</v>
      </c>
      <c r="J17">
        <v>13.404954</v>
      </c>
    </row>
    <row r="18" spans="1:10" x14ac:dyDescent="0.2">
      <c r="A18" t="s">
        <v>15</v>
      </c>
      <c r="B18" t="s">
        <v>13</v>
      </c>
      <c r="C18">
        <f t="shared" si="0"/>
        <v>505443.23869067477</v>
      </c>
      <c r="D18">
        <f t="shared" si="1"/>
        <v>2.1734040000000001</v>
      </c>
      <c r="E18">
        <f t="shared" si="2"/>
        <v>41.385063000000002</v>
      </c>
      <c r="F18">
        <f t="shared" si="3"/>
        <v>-3.7037900000000001</v>
      </c>
      <c r="G18">
        <f t="shared" si="4"/>
        <v>40.416775000000001</v>
      </c>
      <c r="H18" t="s">
        <v>26</v>
      </c>
      <c r="I18">
        <v>50.075538999999999</v>
      </c>
      <c r="J18">
        <v>14.437799999999999</v>
      </c>
    </row>
    <row r="19" spans="1:10" x14ac:dyDescent="0.2">
      <c r="A19" t="s">
        <v>15</v>
      </c>
      <c r="B19" t="s">
        <v>11</v>
      </c>
      <c r="C19">
        <f t="shared" si="0"/>
        <v>531977.90851259488</v>
      </c>
      <c r="D19">
        <f t="shared" si="1"/>
        <v>2.1734040000000001</v>
      </c>
      <c r="E19">
        <f t="shared" si="2"/>
        <v>41.385063000000002</v>
      </c>
      <c r="F19">
        <f t="shared" si="3"/>
        <v>4.8356589999999997</v>
      </c>
      <c r="G19">
        <f t="shared" si="4"/>
        <v>45.764042000000003</v>
      </c>
      <c r="H19" t="s">
        <v>34</v>
      </c>
      <c r="I19">
        <v>48.208176000000002</v>
      </c>
      <c r="J19">
        <v>16.373819000000001</v>
      </c>
    </row>
    <row r="20" spans="1:10" x14ac:dyDescent="0.2">
      <c r="A20" t="s">
        <v>11</v>
      </c>
      <c r="B20" t="s">
        <v>15</v>
      </c>
      <c r="C20">
        <f t="shared" si="0"/>
        <v>531977.90851259488</v>
      </c>
      <c r="D20">
        <f t="shared" si="1"/>
        <v>4.8356589999999997</v>
      </c>
      <c r="E20">
        <f t="shared" si="2"/>
        <v>45.764042000000003</v>
      </c>
      <c r="F20">
        <f t="shared" si="3"/>
        <v>2.1734040000000001</v>
      </c>
      <c r="G20">
        <f t="shared" si="4"/>
        <v>41.385063000000002</v>
      </c>
      <c r="H20" t="s">
        <v>24</v>
      </c>
      <c r="I20">
        <v>45.815010000000001</v>
      </c>
      <c r="J20">
        <v>15.981919</v>
      </c>
    </row>
    <row r="21" spans="1:10" x14ac:dyDescent="0.2">
      <c r="A21" t="s">
        <v>11</v>
      </c>
      <c r="B21" t="s">
        <v>6</v>
      </c>
      <c r="C21">
        <f t="shared" si="0"/>
        <v>391494.03059081285</v>
      </c>
      <c r="D21">
        <f t="shared" si="1"/>
        <v>4.8356589999999997</v>
      </c>
      <c r="E21">
        <f t="shared" si="2"/>
        <v>45.764042000000003</v>
      </c>
      <c r="F21">
        <f t="shared" si="3"/>
        <v>2.3522219999999998</v>
      </c>
      <c r="G21">
        <f t="shared" si="4"/>
        <v>48.856613000000003</v>
      </c>
      <c r="H21" t="s">
        <v>18</v>
      </c>
      <c r="I21">
        <v>48.135123999999998</v>
      </c>
      <c r="J21">
        <v>11.581981000000001</v>
      </c>
    </row>
    <row r="22" spans="1:10" x14ac:dyDescent="0.2">
      <c r="A22" t="s">
        <v>11</v>
      </c>
      <c r="B22" t="s">
        <v>16</v>
      </c>
      <c r="C22">
        <f t="shared" si="0"/>
        <v>335235.60061095259</v>
      </c>
      <c r="D22">
        <f t="shared" si="1"/>
        <v>4.8356589999999997</v>
      </c>
      <c r="E22">
        <f t="shared" si="2"/>
        <v>45.764042000000003</v>
      </c>
      <c r="F22">
        <f t="shared" si="3"/>
        <v>8.5416939999999997</v>
      </c>
      <c r="G22">
        <f t="shared" si="4"/>
        <v>47.376888000000001</v>
      </c>
      <c r="H22" t="s">
        <v>10</v>
      </c>
      <c r="I22">
        <v>48.573405999999999</v>
      </c>
      <c r="J22">
        <v>7.7521110000000002</v>
      </c>
    </row>
    <row r="23" spans="1:10" x14ac:dyDescent="0.2">
      <c r="A23" t="s">
        <v>16</v>
      </c>
      <c r="B23" t="s">
        <v>11</v>
      </c>
      <c r="C23">
        <f t="shared" si="0"/>
        <v>335235.60061095259</v>
      </c>
      <c r="D23">
        <f t="shared" si="1"/>
        <v>8.5416939999999997</v>
      </c>
      <c r="E23">
        <f t="shared" si="2"/>
        <v>47.376888000000001</v>
      </c>
      <c r="F23">
        <f t="shared" si="3"/>
        <v>4.8356589999999997</v>
      </c>
      <c r="G23">
        <f t="shared" si="4"/>
        <v>45.764042000000003</v>
      </c>
      <c r="H23" t="s">
        <v>7</v>
      </c>
      <c r="I23">
        <v>50.110923999999997</v>
      </c>
      <c r="J23">
        <v>8.6821269999999995</v>
      </c>
    </row>
    <row r="24" spans="1:10" x14ac:dyDescent="0.2">
      <c r="A24" t="s">
        <v>16</v>
      </c>
      <c r="B24" t="s">
        <v>10</v>
      </c>
      <c r="C24">
        <f t="shared" si="0"/>
        <v>145449.31012659316</v>
      </c>
      <c r="D24">
        <f t="shared" si="1"/>
        <v>8.5416939999999997</v>
      </c>
      <c r="E24">
        <f t="shared" si="2"/>
        <v>47.376888000000001</v>
      </c>
      <c r="F24">
        <f t="shared" si="3"/>
        <v>7.7521110000000002</v>
      </c>
      <c r="G24">
        <f t="shared" si="4"/>
        <v>48.573405999999999</v>
      </c>
      <c r="H24" t="s">
        <v>9</v>
      </c>
      <c r="I24">
        <v>50.84554</v>
      </c>
      <c r="J24">
        <v>4.3557100000000002</v>
      </c>
    </row>
    <row r="25" spans="1:10" x14ac:dyDescent="0.2">
      <c r="A25" t="s">
        <v>16</v>
      </c>
      <c r="B25" t="s">
        <v>17</v>
      </c>
      <c r="C25">
        <f t="shared" si="0"/>
        <v>218407.06273686624</v>
      </c>
      <c r="D25">
        <f t="shared" si="1"/>
        <v>8.5416939999999997</v>
      </c>
      <c r="E25">
        <f t="shared" si="2"/>
        <v>47.376888000000001</v>
      </c>
      <c r="F25">
        <f t="shared" si="3"/>
        <v>9.1899820000000005</v>
      </c>
      <c r="G25">
        <f t="shared" si="4"/>
        <v>45.464202999999998</v>
      </c>
      <c r="H25" t="s">
        <v>4</v>
      </c>
      <c r="I25">
        <v>52.370215999999999</v>
      </c>
      <c r="J25">
        <v>4.895168</v>
      </c>
    </row>
    <row r="26" spans="1:10" x14ac:dyDescent="0.2">
      <c r="A26" t="s">
        <v>17</v>
      </c>
      <c r="B26" t="s">
        <v>16</v>
      </c>
      <c r="C26">
        <f t="shared" si="0"/>
        <v>218407.06273686624</v>
      </c>
      <c r="D26">
        <f t="shared" si="1"/>
        <v>9.1899820000000005</v>
      </c>
      <c r="E26">
        <f t="shared" si="2"/>
        <v>45.464202999999998</v>
      </c>
      <c r="F26">
        <f t="shared" si="3"/>
        <v>8.5416939999999997</v>
      </c>
      <c r="G26">
        <f t="shared" si="4"/>
        <v>47.376888000000001</v>
      </c>
      <c r="H26" t="s">
        <v>33</v>
      </c>
      <c r="I26">
        <v>53.551085999999998</v>
      </c>
      <c r="J26">
        <v>9.9936819999999997</v>
      </c>
    </row>
    <row r="27" spans="1:10" x14ac:dyDescent="0.2">
      <c r="A27" t="s">
        <v>17</v>
      </c>
      <c r="B27" t="s">
        <v>18</v>
      </c>
      <c r="C27">
        <f t="shared" si="0"/>
        <v>348320.95962009777</v>
      </c>
      <c r="D27">
        <f t="shared" si="1"/>
        <v>9.1899820000000005</v>
      </c>
      <c r="E27">
        <f t="shared" si="2"/>
        <v>45.464202999999998</v>
      </c>
      <c r="F27">
        <f t="shared" si="3"/>
        <v>11.581981000000001</v>
      </c>
      <c r="G27">
        <f t="shared" si="4"/>
        <v>48.135123999999998</v>
      </c>
      <c r="H27" t="s">
        <v>32</v>
      </c>
      <c r="I27">
        <v>55.676098000000003</v>
      </c>
      <c r="J27">
        <v>12.568337</v>
      </c>
    </row>
    <row r="28" spans="1:10" x14ac:dyDescent="0.2">
      <c r="A28" t="s">
        <v>17</v>
      </c>
      <c r="B28" t="s">
        <v>19</v>
      </c>
      <c r="C28">
        <f t="shared" si="0"/>
        <v>476886.17932344944</v>
      </c>
      <c r="D28">
        <f t="shared" si="1"/>
        <v>9.1899820000000005</v>
      </c>
      <c r="E28">
        <f t="shared" si="2"/>
        <v>45.464202999999998</v>
      </c>
      <c r="F28">
        <f t="shared" si="3"/>
        <v>12.496365000000001</v>
      </c>
      <c r="G28">
        <f t="shared" si="4"/>
        <v>41.902782000000002</v>
      </c>
      <c r="H28" t="s">
        <v>35</v>
      </c>
      <c r="I28">
        <v>59.913868000000001</v>
      </c>
      <c r="J28">
        <v>10.752245</v>
      </c>
    </row>
    <row r="29" spans="1:10" x14ac:dyDescent="0.2">
      <c r="A29" t="s">
        <v>19</v>
      </c>
      <c r="B29" t="s">
        <v>17</v>
      </c>
      <c r="C29">
        <f t="shared" si="0"/>
        <v>476886.17932344944</v>
      </c>
      <c r="D29">
        <f t="shared" si="1"/>
        <v>12.496365000000001</v>
      </c>
      <c r="E29">
        <f t="shared" si="2"/>
        <v>41.902782000000002</v>
      </c>
      <c r="F29">
        <f t="shared" si="3"/>
        <v>9.1899820000000005</v>
      </c>
      <c r="G29">
        <f t="shared" si="4"/>
        <v>45.464202999999998</v>
      </c>
      <c r="H29" t="s">
        <v>29</v>
      </c>
      <c r="I29">
        <v>59.329323000000002</v>
      </c>
      <c r="J29">
        <v>18.068580999999998</v>
      </c>
    </row>
    <row r="30" spans="1:10" x14ac:dyDescent="0.2">
      <c r="A30" t="s">
        <v>19</v>
      </c>
      <c r="B30" t="s">
        <v>24</v>
      </c>
      <c r="C30">
        <f t="shared" si="0"/>
        <v>516928.52361001045</v>
      </c>
      <c r="D30">
        <f t="shared" si="1"/>
        <v>12.496365000000001</v>
      </c>
      <c r="E30">
        <f t="shared" si="2"/>
        <v>41.902782000000002</v>
      </c>
      <c r="F30">
        <f t="shared" si="3"/>
        <v>15.981919</v>
      </c>
      <c r="G30">
        <f t="shared" si="4"/>
        <v>45.815010000000001</v>
      </c>
    </row>
    <row r="31" spans="1:10" x14ac:dyDescent="0.2">
      <c r="A31" t="s">
        <v>19</v>
      </c>
      <c r="B31" t="s">
        <v>21</v>
      </c>
      <c r="C31">
        <f t="shared" si="0"/>
        <v>1050866.4805500184</v>
      </c>
      <c r="D31">
        <f t="shared" si="1"/>
        <v>12.496365000000001</v>
      </c>
      <c r="E31">
        <f t="shared" si="2"/>
        <v>41.902782000000002</v>
      </c>
      <c r="F31">
        <f t="shared" si="3"/>
        <v>23.727539</v>
      </c>
      <c r="G31">
        <f t="shared" si="4"/>
        <v>37.983809999999998</v>
      </c>
    </row>
    <row r="32" spans="1:10" x14ac:dyDescent="0.2">
      <c r="A32" t="s">
        <v>20</v>
      </c>
      <c r="B32" t="s">
        <v>19</v>
      </c>
      <c r="C32">
        <f t="shared" si="0"/>
        <v>1050866.4805500184</v>
      </c>
      <c r="D32">
        <f t="shared" si="1"/>
        <v>23.727539</v>
      </c>
      <c r="E32">
        <f t="shared" si="2"/>
        <v>37.983809999999998</v>
      </c>
      <c r="F32">
        <f t="shared" si="3"/>
        <v>12.496365000000001</v>
      </c>
      <c r="G32">
        <f t="shared" si="4"/>
        <v>41.902782000000002</v>
      </c>
    </row>
    <row r="33" spans="1:7" x14ac:dyDescent="0.2">
      <c r="A33" t="s">
        <v>20</v>
      </c>
      <c r="B33" t="s">
        <v>23</v>
      </c>
      <c r="C33">
        <f t="shared" si="0"/>
        <v>804180.14553588862</v>
      </c>
      <c r="D33">
        <f t="shared" si="1"/>
        <v>23.727539</v>
      </c>
      <c r="E33">
        <f t="shared" si="2"/>
        <v>37.983809999999998</v>
      </c>
      <c r="F33">
        <f t="shared" si="3"/>
        <v>20.448920999999999</v>
      </c>
      <c r="G33">
        <f t="shared" si="4"/>
        <v>44.786568000000003</v>
      </c>
    </row>
    <row r="34" spans="1:7" x14ac:dyDescent="0.2">
      <c r="A34" t="s">
        <v>22</v>
      </c>
      <c r="B34" t="s">
        <v>20</v>
      </c>
      <c r="C34">
        <f t="shared" si="0"/>
        <v>804180.14553588862</v>
      </c>
      <c r="D34">
        <f t="shared" si="1"/>
        <v>20.448920999999999</v>
      </c>
      <c r="E34">
        <f t="shared" si="2"/>
        <v>44.786568000000003</v>
      </c>
      <c r="F34">
        <f t="shared" si="3"/>
        <v>23.727539</v>
      </c>
      <c r="G34">
        <f t="shared" si="4"/>
        <v>37.983809999999998</v>
      </c>
    </row>
    <row r="35" spans="1:7" x14ac:dyDescent="0.2">
      <c r="A35" t="s">
        <v>22</v>
      </c>
      <c r="B35" t="s">
        <v>24</v>
      </c>
      <c r="C35">
        <f t="shared" si="0"/>
        <v>367556.06415171124</v>
      </c>
      <c r="D35">
        <f t="shared" si="1"/>
        <v>20.448920999999999</v>
      </c>
      <c r="E35">
        <f t="shared" si="2"/>
        <v>44.786568000000003</v>
      </c>
      <c r="F35">
        <f t="shared" si="3"/>
        <v>15.981919</v>
      </c>
      <c r="G35">
        <f t="shared" si="4"/>
        <v>45.815010000000001</v>
      </c>
    </row>
    <row r="36" spans="1:7" x14ac:dyDescent="0.2">
      <c r="A36" t="s">
        <v>22</v>
      </c>
      <c r="B36" t="s">
        <v>25</v>
      </c>
      <c r="C36">
        <f t="shared" si="0"/>
        <v>320412.54256013694</v>
      </c>
      <c r="D36">
        <f t="shared" si="1"/>
        <v>20.448920999999999</v>
      </c>
      <c r="E36">
        <f t="shared" si="2"/>
        <v>44.786568000000003</v>
      </c>
      <c r="F36">
        <f t="shared" si="3"/>
        <v>19.040236</v>
      </c>
      <c r="G36">
        <f t="shared" si="4"/>
        <v>47.497912999999997</v>
      </c>
    </row>
    <row r="37" spans="1:7" x14ac:dyDescent="0.2">
      <c r="A37" t="s">
        <v>25</v>
      </c>
      <c r="B37" t="s">
        <v>22</v>
      </c>
      <c r="C37">
        <f t="shared" si="0"/>
        <v>320412.54256013694</v>
      </c>
      <c r="D37">
        <f t="shared" si="1"/>
        <v>19.040236</v>
      </c>
      <c r="E37">
        <f t="shared" si="2"/>
        <v>47.497912999999997</v>
      </c>
      <c r="F37">
        <f t="shared" si="3"/>
        <v>20.448920999999999</v>
      </c>
      <c r="G37">
        <f t="shared" si="4"/>
        <v>44.786568000000003</v>
      </c>
    </row>
    <row r="38" spans="1:7" x14ac:dyDescent="0.2">
      <c r="A38" t="s">
        <v>25</v>
      </c>
      <c r="B38" t="s">
        <v>26</v>
      </c>
      <c r="C38">
        <f t="shared" si="0"/>
        <v>442397.63206199097</v>
      </c>
      <c r="D38">
        <f t="shared" si="1"/>
        <v>19.040236</v>
      </c>
      <c r="E38">
        <f t="shared" si="2"/>
        <v>47.497912999999997</v>
      </c>
      <c r="F38">
        <f t="shared" si="3"/>
        <v>14.437799999999999</v>
      </c>
      <c r="G38">
        <f t="shared" si="4"/>
        <v>50.075538999999999</v>
      </c>
    </row>
    <row r="39" spans="1:7" x14ac:dyDescent="0.2">
      <c r="A39" t="s">
        <v>25</v>
      </c>
      <c r="B39" t="s">
        <v>28</v>
      </c>
      <c r="C39">
        <f t="shared" si="0"/>
        <v>545246.48047616647</v>
      </c>
      <c r="D39">
        <f t="shared" si="1"/>
        <v>19.040236</v>
      </c>
      <c r="E39">
        <f t="shared" si="2"/>
        <v>47.497912999999997</v>
      </c>
      <c r="F39">
        <f t="shared" si="3"/>
        <v>21.008489999999998</v>
      </c>
      <c r="G39">
        <f t="shared" si="4"/>
        <v>52.23498</v>
      </c>
    </row>
    <row r="40" spans="1:7" x14ac:dyDescent="0.2">
      <c r="A40" t="s">
        <v>27</v>
      </c>
      <c r="B40" t="s">
        <v>25</v>
      </c>
      <c r="C40">
        <f t="shared" si="0"/>
        <v>545246.48047616647</v>
      </c>
      <c r="D40">
        <f t="shared" si="1"/>
        <v>21.008489999999998</v>
      </c>
      <c r="E40">
        <f t="shared" si="2"/>
        <v>52.23498</v>
      </c>
      <c r="F40">
        <f t="shared" si="3"/>
        <v>19.040236</v>
      </c>
      <c r="G40">
        <f t="shared" si="4"/>
        <v>47.497912999999997</v>
      </c>
    </row>
    <row r="41" spans="1:7" x14ac:dyDescent="0.2">
      <c r="A41" t="s">
        <v>27</v>
      </c>
      <c r="B41" t="s">
        <v>29</v>
      </c>
      <c r="C41">
        <f t="shared" si="0"/>
        <v>809788.93060485192</v>
      </c>
      <c r="D41">
        <f t="shared" si="1"/>
        <v>21.008489999999998</v>
      </c>
      <c r="E41">
        <f t="shared" si="2"/>
        <v>52.23498</v>
      </c>
      <c r="F41">
        <f t="shared" si="3"/>
        <v>18.068580999999998</v>
      </c>
      <c r="G41">
        <f t="shared" si="4"/>
        <v>59.329323000000002</v>
      </c>
    </row>
    <row r="42" spans="1:7" x14ac:dyDescent="0.2">
      <c r="A42" t="s">
        <v>27</v>
      </c>
      <c r="B42" t="s">
        <v>31</v>
      </c>
      <c r="C42">
        <f t="shared" si="0"/>
        <v>516857.36985397292</v>
      </c>
      <c r="D42">
        <f t="shared" si="1"/>
        <v>21.008489999999998</v>
      </c>
      <c r="E42">
        <f t="shared" si="2"/>
        <v>52.23498</v>
      </c>
      <c r="F42">
        <f t="shared" si="3"/>
        <v>13.404954</v>
      </c>
      <c r="G42">
        <f t="shared" si="4"/>
        <v>52.520007999999997</v>
      </c>
    </row>
    <row r="43" spans="1:7" x14ac:dyDescent="0.2">
      <c r="A43" t="s">
        <v>30</v>
      </c>
      <c r="B43" t="s">
        <v>27</v>
      </c>
      <c r="C43">
        <f t="shared" si="0"/>
        <v>516857.36985397292</v>
      </c>
      <c r="D43">
        <f t="shared" si="1"/>
        <v>13.404954</v>
      </c>
      <c r="E43">
        <f t="shared" si="2"/>
        <v>52.520007999999997</v>
      </c>
      <c r="F43">
        <f t="shared" si="3"/>
        <v>21.008489999999998</v>
      </c>
      <c r="G43">
        <f t="shared" si="4"/>
        <v>52.23498</v>
      </c>
    </row>
    <row r="44" spans="1:7" x14ac:dyDescent="0.2">
      <c r="A44" t="s">
        <v>30</v>
      </c>
      <c r="B44" t="s">
        <v>43</v>
      </c>
      <c r="C44">
        <f t="shared" si="0"/>
        <v>355148.75201153534</v>
      </c>
      <c r="D44">
        <f t="shared" si="1"/>
        <v>13.404954</v>
      </c>
      <c r="E44">
        <f t="shared" si="2"/>
        <v>52.520007999999997</v>
      </c>
      <c r="F44">
        <f t="shared" si="3"/>
        <v>12.568337</v>
      </c>
      <c r="G44">
        <f t="shared" si="4"/>
        <v>55.676098000000003</v>
      </c>
    </row>
    <row r="45" spans="1:7" x14ac:dyDescent="0.2">
      <c r="A45" t="s">
        <v>30</v>
      </c>
      <c r="B45" t="s">
        <v>33</v>
      </c>
      <c r="C45">
        <f t="shared" si="0"/>
        <v>255247.57031210975</v>
      </c>
      <c r="D45">
        <f t="shared" si="1"/>
        <v>13.404954</v>
      </c>
      <c r="E45">
        <f t="shared" si="2"/>
        <v>52.520007999999997</v>
      </c>
      <c r="F45">
        <f t="shared" si="3"/>
        <v>9.9936819999999997</v>
      </c>
      <c r="G45">
        <f t="shared" si="4"/>
        <v>53.551085999999998</v>
      </c>
    </row>
    <row r="46" spans="1:7" x14ac:dyDescent="0.2">
      <c r="A46" t="s">
        <v>30</v>
      </c>
      <c r="B46" t="s">
        <v>18</v>
      </c>
      <c r="C46">
        <f t="shared" si="0"/>
        <v>504413.42710959999</v>
      </c>
      <c r="D46">
        <f t="shared" si="1"/>
        <v>13.404954</v>
      </c>
      <c r="E46">
        <f t="shared" si="2"/>
        <v>52.520007999999997</v>
      </c>
      <c r="F46">
        <f t="shared" si="3"/>
        <v>11.581981000000001</v>
      </c>
      <c r="G46">
        <f t="shared" si="4"/>
        <v>48.135123999999998</v>
      </c>
    </row>
    <row r="47" spans="1:7" x14ac:dyDescent="0.2">
      <c r="A47" t="s">
        <v>30</v>
      </c>
      <c r="B47" t="s">
        <v>26</v>
      </c>
      <c r="C47">
        <f t="shared" si="0"/>
        <v>281130.64655934245</v>
      </c>
      <c r="D47">
        <f t="shared" si="1"/>
        <v>13.404954</v>
      </c>
      <c r="E47">
        <f t="shared" si="2"/>
        <v>52.520007999999997</v>
      </c>
      <c r="F47">
        <f t="shared" si="3"/>
        <v>14.437799999999999</v>
      </c>
      <c r="G47">
        <f t="shared" si="4"/>
        <v>50.075538999999999</v>
      </c>
    </row>
    <row r="48" spans="1:7" x14ac:dyDescent="0.2">
      <c r="A48" t="s">
        <v>26</v>
      </c>
      <c r="B48" t="s">
        <v>31</v>
      </c>
      <c r="C48">
        <f t="shared" si="0"/>
        <v>281130.64655934245</v>
      </c>
      <c r="D48">
        <f t="shared" si="1"/>
        <v>14.437799999999999</v>
      </c>
      <c r="E48">
        <f t="shared" si="2"/>
        <v>50.075538999999999</v>
      </c>
      <c r="F48">
        <f t="shared" si="3"/>
        <v>13.404954</v>
      </c>
      <c r="G48">
        <f t="shared" si="4"/>
        <v>52.520007999999997</v>
      </c>
    </row>
    <row r="49" spans="1:7" x14ac:dyDescent="0.2">
      <c r="A49" t="s">
        <v>26</v>
      </c>
      <c r="B49" t="s">
        <v>25</v>
      </c>
      <c r="C49">
        <f t="shared" si="0"/>
        <v>442397.63206199097</v>
      </c>
      <c r="D49">
        <f t="shared" si="1"/>
        <v>14.437799999999999</v>
      </c>
      <c r="E49">
        <f t="shared" si="2"/>
        <v>50.075538999999999</v>
      </c>
      <c r="F49">
        <f t="shared" si="3"/>
        <v>19.040236</v>
      </c>
      <c r="G49">
        <f t="shared" si="4"/>
        <v>47.497912999999997</v>
      </c>
    </row>
    <row r="50" spans="1:7" x14ac:dyDescent="0.2">
      <c r="A50" t="s">
        <v>26</v>
      </c>
      <c r="B50" t="s">
        <v>34</v>
      </c>
      <c r="C50">
        <f t="shared" si="0"/>
        <v>250875.28135417341</v>
      </c>
      <c r="D50">
        <f t="shared" si="1"/>
        <v>14.437799999999999</v>
      </c>
      <c r="E50">
        <f t="shared" si="2"/>
        <v>50.075538999999999</v>
      </c>
      <c r="F50">
        <f t="shared" si="3"/>
        <v>16.373819000000001</v>
      </c>
      <c r="G50">
        <f t="shared" si="4"/>
        <v>48.208176000000002</v>
      </c>
    </row>
    <row r="51" spans="1:7" x14ac:dyDescent="0.2">
      <c r="A51" t="s">
        <v>34</v>
      </c>
      <c r="B51" t="s">
        <v>18</v>
      </c>
      <c r="C51">
        <f t="shared" si="0"/>
        <v>355379.14919724764</v>
      </c>
      <c r="D51">
        <f t="shared" si="1"/>
        <v>16.373819000000001</v>
      </c>
      <c r="E51">
        <f t="shared" si="2"/>
        <v>48.208176000000002</v>
      </c>
      <c r="F51">
        <f t="shared" si="3"/>
        <v>11.581981000000001</v>
      </c>
      <c r="G51">
        <f t="shared" si="4"/>
        <v>48.135123999999998</v>
      </c>
    </row>
    <row r="52" spans="1:7" x14ac:dyDescent="0.2">
      <c r="A52" t="s">
        <v>34</v>
      </c>
      <c r="B52" t="s">
        <v>26</v>
      </c>
      <c r="C52">
        <f t="shared" si="0"/>
        <v>250875.28135417341</v>
      </c>
      <c r="D52">
        <f t="shared" si="1"/>
        <v>16.373819000000001</v>
      </c>
      <c r="E52">
        <f t="shared" si="2"/>
        <v>48.208176000000002</v>
      </c>
      <c r="F52">
        <f t="shared" si="3"/>
        <v>14.437799999999999</v>
      </c>
      <c r="G52">
        <f t="shared" si="4"/>
        <v>50.075538999999999</v>
      </c>
    </row>
    <row r="53" spans="1:7" x14ac:dyDescent="0.2">
      <c r="A53" t="s">
        <v>34</v>
      </c>
      <c r="B53" t="s">
        <v>24</v>
      </c>
      <c r="C53">
        <f t="shared" si="0"/>
        <v>267760.74079000804</v>
      </c>
      <c r="D53">
        <f t="shared" si="1"/>
        <v>16.373819000000001</v>
      </c>
      <c r="E53">
        <f t="shared" si="2"/>
        <v>48.208176000000002</v>
      </c>
      <c r="F53">
        <f t="shared" si="3"/>
        <v>15.981919</v>
      </c>
      <c r="G53">
        <f t="shared" si="4"/>
        <v>45.815010000000001</v>
      </c>
    </row>
    <row r="54" spans="1:7" x14ac:dyDescent="0.2">
      <c r="A54" t="s">
        <v>24</v>
      </c>
      <c r="B54" t="s">
        <v>34</v>
      </c>
      <c r="C54">
        <f t="shared" si="0"/>
        <v>267760.74079000804</v>
      </c>
      <c r="D54">
        <f t="shared" si="1"/>
        <v>15.981919</v>
      </c>
      <c r="E54">
        <f t="shared" si="2"/>
        <v>45.815010000000001</v>
      </c>
      <c r="F54">
        <f t="shared" si="3"/>
        <v>16.373819000000001</v>
      </c>
      <c r="G54">
        <f t="shared" si="4"/>
        <v>48.208176000000002</v>
      </c>
    </row>
    <row r="55" spans="1:7" x14ac:dyDescent="0.2">
      <c r="A55" t="s">
        <v>24</v>
      </c>
      <c r="B55" t="s">
        <v>23</v>
      </c>
      <c r="C55">
        <f t="shared" si="0"/>
        <v>367556.06415171124</v>
      </c>
      <c r="D55">
        <f t="shared" si="1"/>
        <v>15.981919</v>
      </c>
      <c r="E55">
        <f t="shared" si="2"/>
        <v>45.815010000000001</v>
      </c>
      <c r="F55">
        <f t="shared" si="3"/>
        <v>20.448920999999999</v>
      </c>
      <c r="G55">
        <f t="shared" si="4"/>
        <v>44.786568000000003</v>
      </c>
    </row>
    <row r="56" spans="1:7" x14ac:dyDescent="0.2">
      <c r="A56" t="s">
        <v>24</v>
      </c>
      <c r="B56" t="s">
        <v>19</v>
      </c>
      <c r="C56">
        <f t="shared" si="0"/>
        <v>516928.52361001045</v>
      </c>
      <c r="D56">
        <f t="shared" si="1"/>
        <v>15.981919</v>
      </c>
      <c r="E56">
        <f t="shared" si="2"/>
        <v>45.815010000000001</v>
      </c>
      <c r="F56">
        <f t="shared" si="3"/>
        <v>12.496365000000001</v>
      </c>
      <c r="G56">
        <f t="shared" si="4"/>
        <v>41.902782000000002</v>
      </c>
    </row>
    <row r="57" spans="1:7" x14ac:dyDescent="0.2">
      <c r="A57" t="s">
        <v>18</v>
      </c>
      <c r="B57" t="s">
        <v>31</v>
      </c>
      <c r="C57">
        <f t="shared" si="0"/>
        <v>504413.42710959999</v>
      </c>
      <c r="D57">
        <f t="shared" si="1"/>
        <v>11.581981000000001</v>
      </c>
      <c r="E57">
        <f t="shared" si="2"/>
        <v>48.135123999999998</v>
      </c>
      <c r="F57">
        <f t="shared" si="3"/>
        <v>13.404954</v>
      </c>
      <c r="G57">
        <f t="shared" si="4"/>
        <v>52.520007999999997</v>
      </c>
    </row>
    <row r="58" spans="1:7" x14ac:dyDescent="0.2">
      <c r="A58" t="s">
        <v>18</v>
      </c>
      <c r="B58" t="s">
        <v>33</v>
      </c>
      <c r="C58">
        <f t="shared" si="0"/>
        <v>612424.29626016889</v>
      </c>
      <c r="D58">
        <f t="shared" si="1"/>
        <v>11.581981000000001</v>
      </c>
      <c r="E58">
        <f t="shared" si="2"/>
        <v>48.135123999999998</v>
      </c>
      <c r="F58">
        <f t="shared" si="3"/>
        <v>9.9936819999999997</v>
      </c>
      <c r="G58">
        <f t="shared" si="4"/>
        <v>53.551085999999998</v>
      </c>
    </row>
    <row r="59" spans="1:7" x14ac:dyDescent="0.2">
      <c r="A59" t="s">
        <v>18</v>
      </c>
      <c r="B59" t="s">
        <v>34</v>
      </c>
      <c r="C59">
        <f t="shared" si="0"/>
        <v>355379.14919724764</v>
      </c>
      <c r="D59">
        <f t="shared" si="1"/>
        <v>11.581981000000001</v>
      </c>
      <c r="E59">
        <f t="shared" si="2"/>
        <v>48.135123999999998</v>
      </c>
      <c r="F59">
        <f t="shared" si="3"/>
        <v>16.373819000000001</v>
      </c>
      <c r="G59">
        <f t="shared" si="4"/>
        <v>48.208176000000002</v>
      </c>
    </row>
    <row r="60" spans="1:7" x14ac:dyDescent="0.2">
      <c r="A60" t="s">
        <v>18</v>
      </c>
      <c r="B60" t="s">
        <v>17</v>
      </c>
      <c r="C60">
        <f t="shared" si="0"/>
        <v>348320.95962009777</v>
      </c>
      <c r="D60">
        <f t="shared" si="1"/>
        <v>11.581981000000001</v>
      </c>
      <c r="E60">
        <f t="shared" si="2"/>
        <v>48.135123999999998</v>
      </c>
      <c r="F60">
        <f t="shared" si="3"/>
        <v>9.1899820000000005</v>
      </c>
      <c r="G60">
        <f t="shared" si="4"/>
        <v>45.464202999999998</v>
      </c>
    </row>
    <row r="61" spans="1:7" x14ac:dyDescent="0.2">
      <c r="A61" t="s">
        <v>10</v>
      </c>
      <c r="B61" t="s">
        <v>6</v>
      </c>
      <c r="C61">
        <f t="shared" si="0"/>
        <v>397338.73684529081</v>
      </c>
      <c r="D61">
        <f t="shared" si="1"/>
        <v>7.7521110000000002</v>
      </c>
      <c r="E61">
        <f t="shared" si="2"/>
        <v>48.573405999999999</v>
      </c>
      <c r="F61">
        <f t="shared" si="3"/>
        <v>2.3522219999999998</v>
      </c>
      <c r="G61">
        <f t="shared" si="4"/>
        <v>48.856613000000003</v>
      </c>
    </row>
    <row r="62" spans="1:7" x14ac:dyDescent="0.2">
      <c r="A62" t="s">
        <v>10</v>
      </c>
      <c r="B62" t="s">
        <v>16</v>
      </c>
      <c r="C62">
        <f t="shared" si="0"/>
        <v>145449.31012659316</v>
      </c>
      <c r="D62">
        <f t="shared" si="1"/>
        <v>7.7521110000000002</v>
      </c>
      <c r="E62">
        <f t="shared" si="2"/>
        <v>48.573405999999999</v>
      </c>
      <c r="F62">
        <f t="shared" si="3"/>
        <v>8.5416939999999997</v>
      </c>
      <c r="G62">
        <f t="shared" si="4"/>
        <v>47.376888000000001</v>
      </c>
    </row>
    <row r="63" spans="1:7" x14ac:dyDescent="0.2">
      <c r="A63" t="s">
        <v>10</v>
      </c>
      <c r="B63" t="s">
        <v>8</v>
      </c>
      <c r="C63">
        <f t="shared" si="0"/>
        <v>183758.33997980371</v>
      </c>
      <c r="D63">
        <f t="shared" si="1"/>
        <v>7.7521110000000002</v>
      </c>
      <c r="E63">
        <f t="shared" si="2"/>
        <v>48.573405999999999</v>
      </c>
      <c r="F63">
        <f t="shared" si="3"/>
        <v>8.6821269999999995</v>
      </c>
      <c r="G63">
        <f t="shared" si="4"/>
        <v>50.110923999999997</v>
      </c>
    </row>
    <row r="64" spans="1:7" x14ac:dyDescent="0.2">
      <c r="A64" t="s">
        <v>7</v>
      </c>
      <c r="B64" t="s">
        <v>10</v>
      </c>
      <c r="C64">
        <f t="shared" si="0"/>
        <v>183758.33997980371</v>
      </c>
      <c r="D64">
        <f t="shared" si="1"/>
        <v>8.6821269999999995</v>
      </c>
      <c r="E64">
        <f t="shared" si="2"/>
        <v>50.110923999999997</v>
      </c>
      <c r="F64">
        <f t="shared" si="3"/>
        <v>7.7521110000000002</v>
      </c>
      <c r="G64">
        <f t="shared" si="4"/>
        <v>48.573405999999999</v>
      </c>
    </row>
    <row r="65" spans="1:7" x14ac:dyDescent="0.2">
      <c r="A65" t="s">
        <v>7</v>
      </c>
      <c r="B65" t="s">
        <v>9</v>
      </c>
      <c r="C65">
        <f t="shared" si="0"/>
        <v>316800.54941081034</v>
      </c>
      <c r="D65">
        <f t="shared" si="1"/>
        <v>8.6821269999999995</v>
      </c>
      <c r="E65">
        <f t="shared" si="2"/>
        <v>50.110923999999997</v>
      </c>
      <c r="F65">
        <f t="shared" si="3"/>
        <v>4.3557100000000002</v>
      </c>
      <c r="G65">
        <f t="shared" si="4"/>
        <v>50.84554</v>
      </c>
    </row>
    <row r="66" spans="1:7" x14ac:dyDescent="0.2">
      <c r="A66" t="s">
        <v>9</v>
      </c>
      <c r="B66" t="s">
        <v>8</v>
      </c>
      <c r="C66">
        <f t="shared" si="0"/>
        <v>316800.54941081034</v>
      </c>
      <c r="D66">
        <f t="shared" si="1"/>
        <v>4.3557100000000002</v>
      </c>
      <c r="E66">
        <f t="shared" si="2"/>
        <v>50.84554</v>
      </c>
      <c r="F66">
        <f t="shared" si="3"/>
        <v>8.6821269999999995</v>
      </c>
      <c r="G66">
        <f t="shared" si="4"/>
        <v>50.110923999999997</v>
      </c>
    </row>
    <row r="67" spans="1:7" x14ac:dyDescent="0.2">
      <c r="A67" t="s">
        <v>9</v>
      </c>
      <c r="B67" t="s">
        <v>10</v>
      </c>
      <c r="C67">
        <f t="shared" ref="C67:C82" si="5">6371004*ACOS(1-(POWER((SIN((90-E67)*PI()/180)*COS(D67*PI()/180)-SIN((90-G67)*PI()/180)*COS(F67*PI()/180)),2)+POWER((SIN((90-E67)*PI()/180)*SIN(D67*PI()/180)-SIN((90-G67)*PI()/180)*SIN(F67*PI()/180)),2)+POWER((COS((90-E67)*PI()/180)-COS((90-G67)*PI()/180)),2))/2)</f>
        <v>351319.20890184876</v>
      </c>
      <c r="D67">
        <f t="shared" ref="D67:D82" si="6">VLOOKUP(A67,H$2:J$29,3,0)</f>
        <v>4.3557100000000002</v>
      </c>
      <c r="E67">
        <f t="shared" ref="E67:E82" si="7">VLOOKUP(A67,H$2:J$29,2,0)</f>
        <v>50.84554</v>
      </c>
      <c r="F67">
        <f t="shared" ref="F67:F82" si="8">VLOOKUP(B67,H$2:J$29,3,0)</f>
        <v>7.7521110000000002</v>
      </c>
      <c r="G67">
        <f t="shared" ref="G67:G82" si="9">VLOOKUP(B67,H$2:J$29,2,0)</f>
        <v>48.573405999999999</v>
      </c>
    </row>
    <row r="68" spans="1:7" x14ac:dyDescent="0.2">
      <c r="A68" t="s">
        <v>4</v>
      </c>
      <c r="B68" t="s">
        <v>33</v>
      </c>
      <c r="C68">
        <f t="shared" si="5"/>
        <v>365769.12677246617</v>
      </c>
      <c r="D68">
        <f t="shared" si="6"/>
        <v>4.895168</v>
      </c>
      <c r="E68">
        <f t="shared" si="7"/>
        <v>52.370215999999999</v>
      </c>
      <c r="F68">
        <f t="shared" si="8"/>
        <v>9.9936819999999997</v>
      </c>
      <c r="G68">
        <f t="shared" si="9"/>
        <v>53.551085999999998</v>
      </c>
    </row>
    <row r="69" spans="1:7" x14ac:dyDescent="0.2">
      <c r="A69" t="s">
        <v>4</v>
      </c>
      <c r="B69" t="s">
        <v>2</v>
      </c>
      <c r="C69">
        <f t="shared" si="5"/>
        <v>710707.01542218647</v>
      </c>
      <c r="D69">
        <f t="shared" si="6"/>
        <v>4.895168</v>
      </c>
      <c r="E69">
        <f t="shared" si="7"/>
        <v>52.370215999999999</v>
      </c>
      <c r="F69">
        <f t="shared" si="8"/>
        <v>-4.2518060000000002</v>
      </c>
      <c r="G69">
        <f t="shared" si="9"/>
        <v>55.864238999999998</v>
      </c>
    </row>
    <row r="70" spans="1:7" x14ac:dyDescent="0.2">
      <c r="A70" t="s">
        <v>4</v>
      </c>
      <c r="B70" t="s">
        <v>5</v>
      </c>
      <c r="C70">
        <f t="shared" si="5"/>
        <v>357365.16517071368</v>
      </c>
      <c r="D70">
        <f t="shared" si="6"/>
        <v>4.895168</v>
      </c>
      <c r="E70">
        <f t="shared" si="7"/>
        <v>52.370215999999999</v>
      </c>
      <c r="F70">
        <f t="shared" si="8"/>
        <v>-0.12775800000000001</v>
      </c>
      <c r="G70">
        <f t="shared" si="9"/>
        <v>51.507351</v>
      </c>
    </row>
    <row r="71" spans="1:7" x14ac:dyDescent="0.2">
      <c r="A71" t="s">
        <v>33</v>
      </c>
      <c r="B71" t="s">
        <v>8</v>
      </c>
      <c r="C71">
        <f t="shared" si="5"/>
        <v>392983.97158224147</v>
      </c>
      <c r="D71">
        <f t="shared" si="6"/>
        <v>9.9936819999999997</v>
      </c>
      <c r="E71">
        <f t="shared" si="7"/>
        <v>53.551085999999998</v>
      </c>
      <c r="F71">
        <f t="shared" si="8"/>
        <v>8.6821269999999995</v>
      </c>
      <c r="G71">
        <f t="shared" si="9"/>
        <v>50.110923999999997</v>
      </c>
    </row>
    <row r="72" spans="1:7" x14ac:dyDescent="0.2">
      <c r="A72" t="s">
        <v>33</v>
      </c>
      <c r="B72" t="s">
        <v>4</v>
      </c>
      <c r="C72">
        <f t="shared" si="5"/>
        <v>365769.12677246617</v>
      </c>
      <c r="D72">
        <f t="shared" si="6"/>
        <v>9.9936819999999997</v>
      </c>
      <c r="E72">
        <f t="shared" si="7"/>
        <v>53.551085999999998</v>
      </c>
      <c r="F72">
        <f t="shared" si="8"/>
        <v>4.895168</v>
      </c>
      <c r="G72">
        <f t="shared" si="9"/>
        <v>52.370215999999999</v>
      </c>
    </row>
    <row r="73" spans="1:7" x14ac:dyDescent="0.2">
      <c r="A73" t="s">
        <v>33</v>
      </c>
      <c r="B73" t="s">
        <v>31</v>
      </c>
      <c r="C73">
        <f t="shared" si="5"/>
        <v>255247.57031210975</v>
      </c>
      <c r="D73">
        <f t="shared" si="6"/>
        <v>9.9936819999999997</v>
      </c>
      <c r="E73">
        <f t="shared" si="7"/>
        <v>53.551085999999998</v>
      </c>
      <c r="F73">
        <f t="shared" si="8"/>
        <v>13.404954</v>
      </c>
      <c r="G73">
        <f t="shared" si="9"/>
        <v>52.520007999999997</v>
      </c>
    </row>
    <row r="74" spans="1:7" x14ac:dyDescent="0.2">
      <c r="A74" t="s">
        <v>32</v>
      </c>
      <c r="B74" t="s">
        <v>31</v>
      </c>
      <c r="C74">
        <f t="shared" si="5"/>
        <v>355148.75201153534</v>
      </c>
      <c r="D74">
        <f t="shared" si="6"/>
        <v>12.568337</v>
      </c>
      <c r="E74">
        <f t="shared" si="7"/>
        <v>55.676098000000003</v>
      </c>
      <c r="F74">
        <f t="shared" si="8"/>
        <v>13.404954</v>
      </c>
      <c r="G74">
        <f t="shared" si="9"/>
        <v>52.520007999999997</v>
      </c>
    </row>
    <row r="75" spans="1:7" x14ac:dyDescent="0.2">
      <c r="A75" t="s">
        <v>32</v>
      </c>
      <c r="B75" t="s">
        <v>35</v>
      </c>
      <c r="C75">
        <f t="shared" si="5"/>
        <v>483305.51241792896</v>
      </c>
      <c r="D75">
        <f t="shared" si="6"/>
        <v>12.568337</v>
      </c>
      <c r="E75">
        <f t="shared" si="7"/>
        <v>55.676098000000003</v>
      </c>
      <c r="F75">
        <f t="shared" si="8"/>
        <v>10.752245</v>
      </c>
      <c r="G75">
        <f t="shared" si="9"/>
        <v>59.913868000000001</v>
      </c>
    </row>
    <row r="76" spans="1:7" x14ac:dyDescent="0.2">
      <c r="A76" t="s">
        <v>35</v>
      </c>
      <c r="B76" t="s">
        <v>32</v>
      </c>
      <c r="C76">
        <f t="shared" si="5"/>
        <v>483305.51241792896</v>
      </c>
      <c r="D76">
        <f t="shared" si="6"/>
        <v>10.752245</v>
      </c>
      <c r="E76">
        <f t="shared" si="7"/>
        <v>59.913868000000001</v>
      </c>
      <c r="F76">
        <f t="shared" si="8"/>
        <v>12.568337</v>
      </c>
      <c r="G76">
        <f t="shared" si="9"/>
        <v>55.676098000000003</v>
      </c>
    </row>
    <row r="77" spans="1:7" x14ac:dyDescent="0.2">
      <c r="A77" t="s">
        <v>35</v>
      </c>
      <c r="B77" t="s">
        <v>29</v>
      </c>
      <c r="C77">
        <f t="shared" si="5"/>
        <v>416294.33872062818</v>
      </c>
      <c r="D77">
        <f t="shared" si="6"/>
        <v>10.752245</v>
      </c>
      <c r="E77">
        <f t="shared" si="7"/>
        <v>59.913868000000001</v>
      </c>
      <c r="F77">
        <f t="shared" si="8"/>
        <v>18.068580999999998</v>
      </c>
      <c r="G77">
        <f t="shared" si="9"/>
        <v>59.329323000000002</v>
      </c>
    </row>
    <row r="78" spans="1:7" x14ac:dyDescent="0.2">
      <c r="A78" t="s">
        <v>29</v>
      </c>
      <c r="B78" t="s">
        <v>35</v>
      </c>
      <c r="C78">
        <f t="shared" si="5"/>
        <v>416294.33872062818</v>
      </c>
      <c r="D78">
        <f t="shared" si="6"/>
        <v>18.068580999999998</v>
      </c>
      <c r="E78">
        <f t="shared" si="7"/>
        <v>59.329323000000002</v>
      </c>
      <c r="F78">
        <f t="shared" si="8"/>
        <v>10.752245</v>
      </c>
      <c r="G78">
        <f t="shared" si="9"/>
        <v>59.913868000000001</v>
      </c>
    </row>
    <row r="79" spans="1:7" x14ac:dyDescent="0.2">
      <c r="A79" t="s">
        <v>29</v>
      </c>
      <c r="B79" t="s">
        <v>28</v>
      </c>
      <c r="C79">
        <f t="shared" si="5"/>
        <v>809788.93060485192</v>
      </c>
      <c r="D79">
        <f t="shared" si="6"/>
        <v>18.068580999999998</v>
      </c>
      <c r="E79">
        <f t="shared" si="7"/>
        <v>59.329323000000002</v>
      </c>
      <c r="F79">
        <f t="shared" si="8"/>
        <v>21.008489999999998</v>
      </c>
      <c r="G79">
        <f t="shared" si="9"/>
        <v>52.23498</v>
      </c>
    </row>
    <row r="80" spans="1:7" x14ac:dyDescent="0.2">
      <c r="A80" t="s">
        <v>18</v>
      </c>
      <c r="B80" t="s">
        <v>8</v>
      </c>
      <c r="C80">
        <f t="shared" si="5"/>
        <v>304582.92129507259</v>
      </c>
      <c r="D80">
        <f t="shared" si="6"/>
        <v>11.581981000000001</v>
      </c>
      <c r="E80">
        <f t="shared" si="7"/>
        <v>48.135123999999998</v>
      </c>
      <c r="F80">
        <f t="shared" si="8"/>
        <v>8.6821269999999995</v>
      </c>
      <c r="G80">
        <f t="shared" si="9"/>
        <v>50.110923999999997</v>
      </c>
    </row>
    <row r="81" spans="1:7" x14ac:dyDescent="0.2">
      <c r="A81" t="s">
        <v>8</v>
      </c>
      <c r="B81" t="s">
        <v>33</v>
      </c>
      <c r="C81">
        <f t="shared" si="5"/>
        <v>392983.97158224147</v>
      </c>
      <c r="D81">
        <f t="shared" si="6"/>
        <v>8.6821269999999995</v>
      </c>
      <c r="E81">
        <f t="shared" si="7"/>
        <v>50.110923999999997</v>
      </c>
      <c r="F81">
        <f t="shared" si="8"/>
        <v>9.9936819999999997</v>
      </c>
      <c r="G81">
        <f t="shared" si="9"/>
        <v>53.551085999999998</v>
      </c>
    </row>
    <row r="82" spans="1:7" x14ac:dyDescent="0.2">
      <c r="A82" t="s">
        <v>9</v>
      </c>
      <c r="B82" t="s">
        <v>4</v>
      </c>
      <c r="C82">
        <f t="shared" si="5"/>
        <v>173579.62340732224</v>
      </c>
      <c r="D82">
        <f t="shared" si="6"/>
        <v>4.3557100000000002</v>
      </c>
      <c r="E82">
        <f t="shared" si="7"/>
        <v>50.84554</v>
      </c>
      <c r="F82">
        <f t="shared" si="8"/>
        <v>4.895168</v>
      </c>
      <c r="G82">
        <f t="shared" si="9"/>
        <v>52.370215999999999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tabSelected="1" workbookViewId="0">
      <selection activeCell="O29" sqref="O29"/>
    </sheetView>
  </sheetViews>
  <sheetFormatPr defaultRowHeight="14.25" x14ac:dyDescent="0.2"/>
  <cols>
    <col min="1" max="1" width="19.5" customWidth="1"/>
    <col min="2" max="2" width="18.25" customWidth="1"/>
    <col min="3" max="3" width="32.75" customWidth="1"/>
  </cols>
  <sheetData>
    <row r="1" spans="1:12" x14ac:dyDescent="0.2">
      <c r="A1" t="s">
        <v>45</v>
      </c>
      <c r="B1" t="s">
        <v>46</v>
      </c>
      <c r="C1" t="s">
        <v>47</v>
      </c>
      <c r="D1" t="s">
        <v>0</v>
      </c>
      <c r="E1" t="s">
        <v>1</v>
      </c>
      <c r="F1" t="str">
        <f>C1</f>
        <v>distances(m)</v>
      </c>
      <c r="G1" t="s">
        <v>36</v>
      </c>
      <c r="H1" t="s">
        <v>71</v>
      </c>
      <c r="J1" t="s">
        <v>0</v>
      </c>
      <c r="K1" t="s">
        <v>73</v>
      </c>
      <c r="L1" t="s">
        <v>75</v>
      </c>
    </row>
    <row r="2" spans="1:12" x14ac:dyDescent="0.2">
      <c r="A2" t="s">
        <v>48</v>
      </c>
      <c r="B2" t="s">
        <v>49</v>
      </c>
      <c r="C2">
        <v>308032.65785887057</v>
      </c>
      <c r="D2">
        <f t="shared" ref="D2:D33" si="0">VLOOKUP(A2,G$2:H$29,2,0)</f>
        <v>0</v>
      </c>
      <c r="E2">
        <f t="shared" ref="E2:E33" si="1">VLOOKUP(B2,G$2:H$29,2,0)</f>
        <v>1</v>
      </c>
      <c r="F2">
        <f t="shared" ref="F2:F65" si="2">C2</f>
        <v>308032.65785887057</v>
      </c>
      <c r="G2" t="s">
        <v>2</v>
      </c>
      <c r="H2">
        <v>0</v>
      </c>
      <c r="J2">
        <f>IF(D2&lt;E2,D2,-1)</f>
        <v>0</v>
      </c>
      <c r="K2">
        <f>IF(D2&lt;E2,E2,-1)</f>
        <v>1</v>
      </c>
      <c r="L2">
        <f>F2</f>
        <v>308032.65785887057</v>
      </c>
    </row>
    <row r="3" spans="1:12" x14ac:dyDescent="0.2">
      <c r="A3" t="s">
        <v>48</v>
      </c>
      <c r="B3" t="s">
        <v>50</v>
      </c>
      <c r="C3">
        <v>710707.01542218647</v>
      </c>
      <c r="D3">
        <f t="shared" si="0"/>
        <v>0</v>
      </c>
      <c r="E3">
        <f t="shared" si="1"/>
        <v>3</v>
      </c>
      <c r="F3">
        <f t="shared" si="2"/>
        <v>710707.01542218647</v>
      </c>
      <c r="G3" t="s">
        <v>3</v>
      </c>
      <c r="H3">
        <v>1</v>
      </c>
      <c r="J3">
        <f t="shared" ref="J3:J66" si="3">IF(D3&lt;E3,D3,-1)</f>
        <v>0</v>
      </c>
      <c r="K3">
        <f t="shared" ref="K3:K66" si="4">IF(D3&lt;E3,E3,-1)</f>
        <v>3</v>
      </c>
      <c r="L3">
        <f t="shared" ref="L3:L66" si="5">F3</f>
        <v>710707.01542218647</v>
      </c>
    </row>
    <row r="4" spans="1:12" x14ac:dyDescent="0.2">
      <c r="A4" t="s">
        <v>49</v>
      </c>
      <c r="B4" t="s">
        <v>51</v>
      </c>
      <c r="C4">
        <v>463317.29825375322</v>
      </c>
      <c r="D4">
        <f t="shared" si="0"/>
        <v>1</v>
      </c>
      <c r="E4">
        <f t="shared" si="1"/>
        <v>2</v>
      </c>
      <c r="F4">
        <f t="shared" si="2"/>
        <v>463317.29825375322</v>
      </c>
      <c r="G4" t="s">
        <v>5</v>
      </c>
      <c r="H4">
        <v>2</v>
      </c>
      <c r="J4">
        <f t="shared" si="3"/>
        <v>1</v>
      </c>
      <c r="K4">
        <f t="shared" si="4"/>
        <v>2</v>
      </c>
      <c r="L4">
        <f t="shared" si="5"/>
        <v>463317.29825375322</v>
      </c>
    </row>
    <row r="5" spans="1:12" x14ac:dyDescent="0.2">
      <c r="A5" t="s">
        <v>49</v>
      </c>
      <c r="B5" t="s">
        <v>48</v>
      </c>
      <c r="C5">
        <v>308032.65785887057</v>
      </c>
      <c r="D5">
        <f t="shared" si="0"/>
        <v>1</v>
      </c>
      <c r="E5">
        <f t="shared" si="1"/>
        <v>0</v>
      </c>
      <c r="F5">
        <f t="shared" si="2"/>
        <v>308032.65785887057</v>
      </c>
      <c r="G5" t="s">
        <v>4</v>
      </c>
      <c r="H5">
        <v>3</v>
      </c>
      <c r="J5">
        <f t="shared" si="3"/>
        <v>-1</v>
      </c>
      <c r="K5">
        <f t="shared" si="4"/>
        <v>-1</v>
      </c>
      <c r="L5">
        <f t="shared" si="5"/>
        <v>308032.65785887057</v>
      </c>
    </row>
    <row r="6" spans="1:12" x14ac:dyDescent="0.2">
      <c r="A6" t="s">
        <v>51</v>
      </c>
      <c r="B6" t="s">
        <v>50</v>
      </c>
      <c r="C6">
        <v>357365.16517071368</v>
      </c>
      <c r="D6">
        <f t="shared" si="0"/>
        <v>2</v>
      </c>
      <c r="E6">
        <f t="shared" si="1"/>
        <v>3</v>
      </c>
      <c r="F6">
        <f t="shared" si="2"/>
        <v>357365.16517071368</v>
      </c>
      <c r="G6" t="s">
        <v>9</v>
      </c>
      <c r="H6">
        <v>4</v>
      </c>
      <c r="J6">
        <f t="shared" si="3"/>
        <v>2</v>
      </c>
      <c r="K6">
        <f t="shared" si="4"/>
        <v>3</v>
      </c>
      <c r="L6">
        <f t="shared" si="5"/>
        <v>357365.16517071368</v>
      </c>
    </row>
    <row r="7" spans="1:12" x14ac:dyDescent="0.2">
      <c r="A7" t="s">
        <v>51</v>
      </c>
      <c r="B7" t="s">
        <v>49</v>
      </c>
      <c r="C7">
        <v>463317.29825375322</v>
      </c>
      <c r="D7">
        <f t="shared" si="0"/>
        <v>2</v>
      </c>
      <c r="E7">
        <f t="shared" si="1"/>
        <v>1</v>
      </c>
      <c r="F7">
        <f t="shared" si="2"/>
        <v>463317.29825375322</v>
      </c>
      <c r="G7" t="s">
        <v>6</v>
      </c>
      <c r="H7">
        <v>5</v>
      </c>
      <c r="J7">
        <f t="shared" si="3"/>
        <v>-1</v>
      </c>
      <c r="K7">
        <f t="shared" si="4"/>
        <v>-1</v>
      </c>
      <c r="L7">
        <f t="shared" si="5"/>
        <v>463317.29825375322</v>
      </c>
    </row>
    <row r="8" spans="1:12" x14ac:dyDescent="0.2">
      <c r="A8" t="s">
        <v>51</v>
      </c>
      <c r="B8" t="s">
        <v>52</v>
      </c>
      <c r="C8">
        <v>343549.6663231898</v>
      </c>
      <c r="D8">
        <f t="shared" si="0"/>
        <v>2</v>
      </c>
      <c r="E8">
        <f t="shared" si="1"/>
        <v>5</v>
      </c>
      <c r="F8">
        <f t="shared" si="2"/>
        <v>343549.6663231898</v>
      </c>
      <c r="G8" t="s">
        <v>7</v>
      </c>
      <c r="H8">
        <v>6</v>
      </c>
      <c r="J8">
        <f t="shared" si="3"/>
        <v>2</v>
      </c>
      <c r="K8">
        <f t="shared" si="4"/>
        <v>5</v>
      </c>
      <c r="L8">
        <f t="shared" si="5"/>
        <v>343549.6663231898</v>
      </c>
    </row>
    <row r="9" spans="1:12" x14ac:dyDescent="0.2">
      <c r="A9" t="s">
        <v>52</v>
      </c>
      <c r="B9" t="s">
        <v>51</v>
      </c>
      <c r="C9">
        <v>343549.6663231898</v>
      </c>
      <c r="D9">
        <f t="shared" si="0"/>
        <v>5</v>
      </c>
      <c r="E9">
        <f t="shared" si="1"/>
        <v>2</v>
      </c>
      <c r="F9">
        <f t="shared" si="2"/>
        <v>343549.6663231898</v>
      </c>
      <c r="G9" t="s">
        <v>10</v>
      </c>
      <c r="H9">
        <v>7</v>
      </c>
      <c r="J9">
        <f t="shared" si="3"/>
        <v>-1</v>
      </c>
      <c r="K9">
        <f t="shared" si="4"/>
        <v>-1</v>
      </c>
      <c r="L9">
        <f t="shared" si="5"/>
        <v>343549.6663231898</v>
      </c>
    </row>
    <row r="10" spans="1:12" x14ac:dyDescent="0.2">
      <c r="A10" t="s">
        <v>52</v>
      </c>
      <c r="B10" t="s">
        <v>53</v>
      </c>
      <c r="C10">
        <v>263689.49683502695</v>
      </c>
      <c r="D10">
        <f t="shared" si="0"/>
        <v>5</v>
      </c>
      <c r="E10">
        <f t="shared" si="1"/>
        <v>4</v>
      </c>
      <c r="F10">
        <f t="shared" si="2"/>
        <v>263689.49683502695</v>
      </c>
      <c r="G10" t="s">
        <v>16</v>
      </c>
      <c r="H10">
        <v>8</v>
      </c>
      <c r="J10">
        <f t="shared" si="3"/>
        <v>-1</v>
      </c>
      <c r="K10">
        <f t="shared" si="4"/>
        <v>-1</v>
      </c>
      <c r="L10">
        <f t="shared" si="5"/>
        <v>263689.49683502695</v>
      </c>
    </row>
    <row r="11" spans="1:12" x14ac:dyDescent="0.2">
      <c r="A11" t="s">
        <v>52</v>
      </c>
      <c r="B11" t="s">
        <v>54</v>
      </c>
      <c r="C11">
        <v>397338.73684529081</v>
      </c>
      <c r="D11">
        <f t="shared" si="0"/>
        <v>5</v>
      </c>
      <c r="E11">
        <f t="shared" si="1"/>
        <v>7</v>
      </c>
      <c r="F11">
        <f t="shared" si="2"/>
        <v>397338.73684529081</v>
      </c>
      <c r="G11" t="s">
        <v>12</v>
      </c>
      <c r="H11">
        <v>9</v>
      </c>
      <c r="J11">
        <f t="shared" si="3"/>
        <v>5</v>
      </c>
      <c r="K11">
        <f t="shared" si="4"/>
        <v>7</v>
      </c>
      <c r="L11">
        <f t="shared" si="5"/>
        <v>397338.73684529081</v>
      </c>
    </row>
    <row r="12" spans="1:12" x14ac:dyDescent="0.2">
      <c r="A12" t="s">
        <v>52</v>
      </c>
      <c r="B12" t="s">
        <v>55</v>
      </c>
      <c r="C12">
        <v>391494.03059081285</v>
      </c>
      <c r="D12">
        <f t="shared" si="0"/>
        <v>5</v>
      </c>
      <c r="E12">
        <f t="shared" si="1"/>
        <v>10</v>
      </c>
      <c r="F12">
        <f t="shared" si="2"/>
        <v>391494.03059081285</v>
      </c>
      <c r="G12" t="s">
        <v>11</v>
      </c>
      <c r="H12">
        <v>10</v>
      </c>
      <c r="J12">
        <f t="shared" si="3"/>
        <v>5</v>
      </c>
      <c r="K12">
        <f t="shared" si="4"/>
        <v>10</v>
      </c>
      <c r="L12">
        <f t="shared" si="5"/>
        <v>391494.03059081285</v>
      </c>
    </row>
    <row r="13" spans="1:12" x14ac:dyDescent="0.2">
      <c r="A13" t="s">
        <v>52</v>
      </c>
      <c r="B13" t="s">
        <v>56</v>
      </c>
      <c r="C13">
        <v>499300.49215458217</v>
      </c>
      <c r="D13">
        <f t="shared" si="0"/>
        <v>5</v>
      </c>
      <c r="E13">
        <f t="shared" si="1"/>
        <v>9</v>
      </c>
      <c r="F13">
        <f t="shared" si="2"/>
        <v>499300.49215458217</v>
      </c>
      <c r="G13" t="s">
        <v>13</v>
      </c>
      <c r="H13">
        <v>11</v>
      </c>
      <c r="J13">
        <f t="shared" si="3"/>
        <v>5</v>
      </c>
      <c r="K13">
        <f t="shared" si="4"/>
        <v>9</v>
      </c>
      <c r="L13">
        <f t="shared" si="5"/>
        <v>499300.49215458217</v>
      </c>
    </row>
    <row r="14" spans="1:12" x14ac:dyDescent="0.2">
      <c r="A14" t="s">
        <v>56</v>
      </c>
      <c r="B14" t="s">
        <v>52</v>
      </c>
      <c r="C14">
        <v>499300.49215458217</v>
      </c>
      <c r="D14">
        <f t="shared" si="0"/>
        <v>9</v>
      </c>
      <c r="E14">
        <f t="shared" si="1"/>
        <v>5</v>
      </c>
      <c r="F14">
        <f t="shared" si="2"/>
        <v>499300.49215458217</v>
      </c>
      <c r="G14" t="s">
        <v>15</v>
      </c>
      <c r="H14">
        <v>12</v>
      </c>
      <c r="J14">
        <f t="shared" si="3"/>
        <v>-1</v>
      </c>
      <c r="K14">
        <f t="shared" si="4"/>
        <v>-1</v>
      </c>
      <c r="L14">
        <f t="shared" si="5"/>
        <v>499300.49215458217</v>
      </c>
    </row>
    <row r="15" spans="1:12" x14ac:dyDescent="0.2">
      <c r="A15" t="s">
        <v>56</v>
      </c>
      <c r="B15" t="s">
        <v>13</v>
      </c>
      <c r="C15">
        <v>553979.97494564124</v>
      </c>
      <c r="D15">
        <f t="shared" si="0"/>
        <v>9</v>
      </c>
      <c r="E15">
        <f t="shared" si="1"/>
        <v>11</v>
      </c>
      <c r="F15">
        <f t="shared" si="2"/>
        <v>553979.97494564124</v>
      </c>
      <c r="G15" t="s">
        <v>17</v>
      </c>
      <c r="H15">
        <v>13</v>
      </c>
      <c r="J15">
        <f t="shared" si="3"/>
        <v>9</v>
      </c>
      <c r="K15">
        <f t="shared" si="4"/>
        <v>11</v>
      </c>
      <c r="L15">
        <f t="shared" si="5"/>
        <v>553979.97494564124</v>
      </c>
    </row>
    <row r="16" spans="1:12" x14ac:dyDescent="0.2">
      <c r="A16" t="s">
        <v>13</v>
      </c>
      <c r="B16" t="s">
        <v>56</v>
      </c>
      <c r="C16">
        <v>553979.97494564124</v>
      </c>
      <c r="D16">
        <f t="shared" si="0"/>
        <v>11</v>
      </c>
      <c r="E16">
        <f t="shared" si="1"/>
        <v>9</v>
      </c>
      <c r="F16">
        <f t="shared" si="2"/>
        <v>553979.97494564124</v>
      </c>
      <c r="G16" t="s">
        <v>18</v>
      </c>
      <c r="H16">
        <v>14</v>
      </c>
      <c r="J16">
        <f t="shared" si="3"/>
        <v>-1</v>
      </c>
      <c r="K16">
        <f t="shared" si="4"/>
        <v>-1</v>
      </c>
      <c r="L16">
        <f t="shared" si="5"/>
        <v>553979.97494564124</v>
      </c>
    </row>
    <row r="17" spans="1:12" x14ac:dyDescent="0.2">
      <c r="A17" t="s">
        <v>13</v>
      </c>
      <c r="B17" t="s">
        <v>57</v>
      </c>
      <c r="C17">
        <v>505443.23869067477</v>
      </c>
      <c r="D17">
        <f t="shared" si="0"/>
        <v>11</v>
      </c>
      <c r="E17">
        <f t="shared" si="1"/>
        <v>12</v>
      </c>
      <c r="F17">
        <f t="shared" si="2"/>
        <v>505443.23869067477</v>
      </c>
      <c r="G17" t="s">
        <v>33</v>
      </c>
      <c r="H17">
        <v>15</v>
      </c>
      <c r="J17">
        <f t="shared" si="3"/>
        <v>11</v>
      </c>
      <c r="K17">
        <f t="shared" si="4"/>
        <v>12</v>
      </c>
      <c r="L17">
        <f t="shared" si="5"/>
        <v>505443.23869067477</v>
      </c>
    </row>
    <row r="18" spans="1:12" x14ac:dyDescent="0.2">
      <c r="A18" t="s">
        <v>57</v>
      </c>
      <c r="B18" t="s">
        <v>13</v>
      </c>
      <c r="C18">
        <v>505443.23869067477</v>
      </c>
      <c r="D18">
        <f t="shared" si="0"/>
        <v>12</v>
      </c>
      <c r="E18">
        <f t="shared" si="1"/>
        <v>11</v>
      </c>
      <c r="F18">
        <f t="shared" si="2"/>
        <v>505443.23869067477</v>
      </c>
      <c r="G18" t="s">
        <v>30</v>
      </c>
      <c r="H18">
        <v>16</v>
      </c>
      <c r="J18">
        <f t="shared" si="3"/>
        <v>-1</v>
      </c>
      <c r="K18">
        <f t="shared" si="4"/>
        <v>-1</v>
      </c>
      <c r="L18">
        <f t="shared" si="5"/>
        <v>505443.23869067477</v>
      </c>
    </row>
    <row r="19" spans="1:12" x14ac:dyDescent="0.2">
      <c r="A19" t="s">
        <v>57</v>
      </c>
      <c r="B19" t="s">
        <v>55</v>
      </c>
      <c r="C19">
        <v>531977.90851259488</v>
      </c>
      <c r="D19">
        <f t="shared" si="0"/>
        <v>12</v>
      </c>
      <c r="E19">
        <f t="shared" si="1"/>
        <v>10</v>
      </c>
      <c r="F19">
        <f t="shared" si="2"/>
        <v>531977.90851259488</v>
      </c>
      <c r="G19" t="s">
        <v>32</v>
      </c>
      <c r="H19">
        <v>17</v>
      </c>
      <c r="J19">
        <f t="shared" si="3"/>
        <v>-1</v>
      </c>
      <c r="K19">
        <f t="shared" si="4"/>
        <v>-1</v>
      </c>
      <c r="L19">
        <f t="shared" si="5"/>
        <v>531977.90851259488</v>
      </c>
    </row>
    <row r="20" spans="1:12" x14ac:dyDescent="0.2">
      <c r="A20" t="s">
        <v>55</v>
      </c>
      <c r="B20" t="s">
        <v>57</v>
      </c>
      <c r="C20">
        <v>531977.90851259488</v>
      </c>
      <c r="D20">
        <f t="shared" si="0"/>
        <v>10</v>
      </c>
      <c r="E20">
        <f t="shared" si="1"/>
        <v>12</v>
      </c>
      <c r="F20">
        <f t="shared" si="2"/>
        <v>531977.90851259488</v>
      </c>
      <c r="G20" t="s">
        <v>35</v>
      </c>
      <c r="H20">
        <v>18</v>
      </c>
      <c r="J20">
        <f t="shared" si="3"/>
        <v>10</v>
      </c>
      <c r="K20">
        <f t="shared" si="4"/>
        <v>12</v>
      </c>
      <c r="L20">
        <f t="shared" si="5"/>
        <v>531977.90851259488</v>
      </c>
    </row>
    <row r="21" spans="1:12" x14ac:dyDescent="0.2">
      <c r="A21" t="s">
        <v>55</v>
      </c>
      <c r="B21" t="s">
        <v>52</v>
      </c>
      <c r="C21">
        <v>391494.03059081285</v>
      </c>
      <c r="D21">
        <f t="shared" si="0"/>
        <v>10</v>
      </c>
      <c r="E21">
        <f t="shared" si="1"/>
        <v>5</v>
      </c>
      <c r="F21">
        <f t="shared" si="2"/>
        <v>391494.03059081285</v>
      </c>
      <c r="G21" t="s">
        <v>29</v>
      </c>
      <c r="H21">
        <v>19</v>
      </c>
      <c r="J21">
        <f t="shared" si="3"/>
        <v>-1</v>
      </c>
      <c r="K21">
        <f t="shared" si="4"/>
        <v>-1</v>
      </c>
      <c r="L21">
        <f t="shared" si="5"/>
        <v>391494.03059081285</v>
      </c>
    </row>
    <row r="22" spans="1:12" x14ac:dyDescent="0.2">
      <c r="A22" t="s">
        <v>55</v>
      </c>
      <c r="B22" t="s">
        <v>58</v>
      </c>
      <c r="C22">
        <v>335235.60061095259</v>
      </c>
      <c r="D22">
        <f t="shared" si="0"/>
        <v>10</v>
      </c>
      <c r="E22">
        <f t="shared" si="1"/>
        <v>8</v>
      </c>
      <c r="F22">
        <f t="shared" si="2"/>
        <v>335235.60061095259</v>
      </c>
      <c r="G22" t="s">
        <v>27</v>
      </c>
      <c r="H22">
        <v>20</v>
      </c>
      <c r="J22">
        <f t="shared" si="3"/>
        <v>-1</v>
      </c>
      <c r="K22">
        <f t="shared" si="4"/>
        <v>-1</v>
      </c>
      <c r="L22">
        <f t="shared" si="5"/>
        <v>335235.60061095259</v>
      </c>
    </row>
    <row r="23" spans="1:12" x14ac:dyDescent="0.2">
      <c r="A23" t="s">
        <v>58</v>
      </c>
      <c r="B23" t="s">
        <v>55</v>
      </c>
      <c r="C23">
        <v>335235.60061095259</v>
      </c>
      <c r="D23">
        <f t="shared" si="0"/>
        <v>8</v>
      </c>
      <c r="E23">
        <f t="shared" si="1"/>
        <v>10</v>
      </c>
      <c r="F23">
        <f t="shared" si="2"/>
        <v>335235.60061095259</v>
      </c>
      <c r="G23" t="s">
        <v>26</v>
      </c>
      <c r="H23">
        <v>21</v>
      </c>
      <c r="J23">
        <f t="shared" si="3"/>
        <v>8</v>
      </c>
      <c r="K23">
        <f t="shared" si="4"/>
        <v>10</v>
      </c>
      <c r="L23">
        <f t="shared" si="5"/>
        <v>335235.60061095259</v>
      </c>
    </row>
    <row r="24" spans="1:12" x14ac:dyDescent="0.2">
      <c r="A24" t="s">
        <v>58</v>
      </c>
      <c r="B24" t="s">
        <v>54</v>
      </c>
      <c r="C24">
        <v>145449.31012659316</v>
      </c>
      <c r="D24">
        <f t="shared" si="0"/>
        <v>8</v>
      </c>
      <c r="E24">
        <f t="shared" si="1"/>
        <v>7</v>
      </c>
      <c r="F24">
        <f t="shared" si="2"/>
        <v>145449.31012659316</v>
      </c>
      <c r="G24" t="s">
        <v>34</v>
      </c>
      <c r="H24">
        <v>22</v>
      </c>
      <c r="J24">
        <f t="shared" si="3"/>
        <v>-1</v>
      </c>
      <c r="K24">
        <f t="shared" si="4"/>
        <v>-1</v>
      </c>
      <c r="L24">
        <f t="shared" si="5"/>
        <v>145449.31012659316</v>
      </c>
    </row>
    <row r="25" spans="1:12" x14ac:dyDescent="0.2">
      <c r="A25" t="s">
        <v>58</v>
      </c>
      <c r="B25" t="s">
        <v>59</v>
      </c>
      <c r="C25">
        <v>218407.06273686624</v>
      </c>
      <c r="D25">
        <f t="shared" si="0"/>
        <v>8</v>
      </c>
      <c r="E25">
        <f t="shared" si="1"/>
        <v>13</v>
      </c>
      <c r="F25">
        <f t="shared" si="2"/>
        <v>218407.06273686624</v>
      </c>
      <c r="G25" t="s">
        <v>25</v>
      </c>
      <c r="H25">
        <v>23</v>
      </c>
      <c r="J25">
        <f t="shared" si="3"/>
        <v>8</v>
      </c>
      <c r="K25">
        <f t="shared" si="4"/>
        <v>13</v>
      </c>
      <c r="L25">
        <f t="shared" si="5"/>
        <v>218407.06273686624</v>
      </c>
    </row>
    <row r="26" spans="1:12" x14ac:dyDescent="0.2">
      <c r="A26" t="s">
        <v>59</v>
      </c>
      <c r="B26" t="s">
        <v>58</v>
      </c>
      <c r="C26">
        <v>218407.06273686624</v>
      </c>
      <c r="D26">
        <f t="shared" si="0"/>
        <v>13</v>
      </c>
      <c r="E26">
        <f t="shared" si="1"/>
        <v>8</v>
      </c>
      <c r="F26">
        <f t="shared" si="2"/>
        <v>218407.06273686624</v>
      </c>
      <c r="G26" t="s">
        <v>24</v>
      </c>
      <c r="H26">
        <v>24</v>
      </c>
      <c r="J26">
        <f t="shared" si="3"/>
        <v>-1</v>
      </c>
      <c r="K26">
        <f t="shared" si="4"/>
        <v>-1</v>
      </c>
      <c r="L26">
        <f t="shared" si="5"/>
        <v>218407.06273686624</v>
      </c>
    </row>
    <row r="27" spans="1:12" x14ac:dyDescent="0.2">
      <c r="A27" t="s">
        <v>59</v>
      </c>
      <c r="B27" t="s">
        <v>60</v>
      </c>
      <c r="C27">
        <v>348320.95962009777</v>
      </c>
      <c r="D27">
        <f t="shared" si="0"/>
        <v>13</v>
      </c>
      <c r="E27">
        <f t="shared" si="1"/>
        <v>14</v>
      </c>
      <c r="F27">
        <f t="shared" si="2"/>
        <v>348320.95962009777</v>
      </c>
      <c r="G27" t="s">
        <v>22</v>
      </c>
      <c r="H27">
        <v>25</v>
      </c>
      <c r="J27">
        <f t="shared" si="3"/>
        <v>13</v>
      </c>
      <c r="K27">
        <f t="shared" si="4"/>
        <v>14</v>
      </c>
      <c r="L27">
        <f t="shared" si="5"/>
        <v>348320.95962009777</v>
      </c>
    </row>
    <row r="28" spans="1:12" x14ac:dyDescent="0.2">
      <c r="A28" t="s">
        <v>59</v>
      </c>
      <c r="B28" t="s">
        <v>61</v>
      </c>
      <c r="C28">
        <v>476886.17932344944</v>
      </c>
      <c r="D28">
        <f t="shared" si="0"/>
        <v>13</v>
      </c>
      <c r="E28">
        <f t="shared" si="1"/>
        <v>27</v>
      </c>
      <c r="F28">
        <f t="shared" si="2"/>
        <v>476886.17932344944</v>
      </c>
      <c r="G28" t="s">
        <v>20</v>
      </c>
      <c r="H28">
        <v>26</v>
      </c>
      <c r="J28">
        <f t="shared" si="3"/>
        <v>13</v>
      </c>
      <c r="K28">
        <f t="shared" si="4"/>
        <v>27</v>
      </c>
      <c r="L28">
        <f t="shared" si="5"/>
        <v>476886.17932344944</v>
      </c>
    </row>
    <row r="29" spans="1:12" x14ac:dyDescent="0.2">
      <c r="A29" t="s">
        <v>61</v>
      </c>
      <c r="B29" t="s">
        <v>59</v>
      </c>
      <c r="C29">
        <v>476886.17932344944</v>
      </c>
      <c r="D29">
        <f t="shared" si="0"/>
        <v>27</v>
      </c>
      <c r="E29">
        <f t="shared" si="1"/>
        <v>13</v>
      </c>
      <c r="F29">
        <f t="shared" si="2"/>
        <v>476886.17932344944</v>
      </c>
      <c r="G29" t="s">
        <v>19</v>
      </c>
      <c r="H29">
        <v>27</v>
      </c>
      <c r="J29">
        <f t="shared" si="3"/>
        <v>-1</v>
      </c>
      <c r="K29">
        <f t="shared" si="4"/>
        <v>-1</v>
      </c>
      <c r="L29">
        <f t="shared" si="5"/>
        <v>476886.17932344944</v>
      </c>
    </row>
    <row r="30" spans="1:12" x14ac:dyDescent="0.2">
      <c r="A30" t="s">
        <v>61</v>
      </c>
      <c r="B30" t="s">
        <v>62</v>
      </c>
      <c r="C30">
        <v>516928.52361001045</v>
      </c>
      <c r="D30">
        <f t="shared" si="0"/>
        <v>27</v>
      </c>
      <c r="E30">
        <f t="shared" si="1"/>
        <v>24</v>
      </c>
      <c r="F30">
        <f t="shared" si="2"/>
        <v>516928.52361001045</v>
      </c>
      <c r="J30">
        <f t="shared" si="3"/>
        <v>-1</v>
      </c>
      <c r="K30">
        <f t="shared" si="4"/>
        <v>-1</v>
      </c>
      <c r="L30">
        <f t="shared" si="5"/>
        <v>516928.52361001045</v>
      </c>
    </row>
    <row r="31" spans="1:12" x14ac:dyDescent="0.2">
      <c r="A31" t="s">
        <v>61</v>
      </c>
      <c r="B31" t="s">
        <v>20</v>
      </c>
      <c r="C31">
        <v>1050866.4805500184</v>
      </c>
      <c r="D31">
        <f t="shared" si="0"/>
        <v>27</v>
      </c>
      <c r="E31">
        <f t="shared" si="1"/>
        <v>26</v>
      </c>
      <c r="F31">
        <f t="shared" si="2"/>
        <v>1050866.4805500184</v>
      </c>
      <c r="J31">
        <f t="shared" si="3"/>
        <v>-1</v>
      </c>
      <c r="K31">
        <f t="shared" si="4"/>
        <v>-1</v>
      </c>
      <c r="L31">
        <f t="shared" si="5"/>
        <v>1050866.4805500184</v>
      </c>
    </row>
    <row r="32" spans="1:12" x14ac:dyDescent="0.2">
      <c r="A32" t="s">
        <v>20</v>
      </c>
      <c r="B32" t="s">
        <v>61</v>
      </c>
      <c r="C32">
        <v>1050866.4805500184</v>
      </c>
      <c r="D32">
        <f t="shared" si="0"/>
        <v>26</v>
      </c>
      <c r="E32">
        <f t="shared" si="1"/>
        <v>27</v>
      </c>
      <c r="F32">
        <f t="shared" si="2"/>
        <v>1050866.4805500184</v>
      </c>
      <c r="J32">
        <f t="shared" si="3"/>
        <v>26</v>
      </c>
      <c r="K32">
        <f t="shared" si="4"/>
        <v>27</v>
      </c>
      <c r="L32">
        <f t="shared" si="5"/>
        <v>1050866.4805500184</v>
      </c>
    </row>
    <row r="33" spans="1:12" x14ac:dyDescent="0.2">
      <c r="A33" t="s">
        <v>20</v>
      </c>
      <c r="B33" t="s">
        <v>22</v>
      </c>
      <c r="C33">
        <v>804180.14553588862</v>
      </c>
      <c r="D33">
        <f t="shared" si="0"/>
        <v>26</v>
      </c>
      <c r="E33">
        <f t="shared" si="1"/>
        <v>25</v>
      </c>
      <c r="F33">
        <f t="shared" si="2"/>
        <v>804180.14553588862</v>
      </c>
      <c r="J33">
        <f t="shared" si="3"/>
        <v>-1</v>
      </c>
      <c r="K33">
        <f t="shared" si="4"/>
        <v>-1</v>
      </c>
      <c r="L33">
        <f t="shared" si="5"/>
        <v>804180.14553588862</v>
      </c>
    </row>
    <row r="34" spans="1:12" x14ac:dyDescent="0.2">
      <c r="A34" t="s">
        <v>22</v>
      </c>
      <c r="B34" t="s">
        <v>20</v>
      </c>
      <c r="C34">
        <v>804180.14553588862</v>
      </c>
      <c r="D34">
        <f t="shared" ref="D34:D65" si="6">VLOOKUP(A34,G$2:H$29,2,0)</f>
        <v>25</v>
      </c>
      <c r="E34">
        <f t="shared" ref="E34:E65" si="7">VLOOKUP(B34,G$2:H$29,2,0)</f>
        <v>26</v>
      </c>
      <c r="F34">
        <f t="shared" si="2"/>
        <v>804180.14553588862</v>
      </c>
      <c r="J34">
        <f t="shared" si="3"/>
        <v>25</v>
      </c>
      <c r="K34">
        <f t="shared" si="4"/>
        <v>26</v>
      </c>
      <c r="L34">
        <f t="shared" si="5"/>
        <v>804180.14553588862</v>
      </c>
    </row>
    <row r="35" spans="1:12" x14ac:dyDescent="0.2">
      <c r="A35" t="s">
        <v>22</v>
      </c>
      <c r="B35" t="s">
        <v>62</v>
      </c>
      <c r="C35">
        <v>367556.06415171124</v>
      </c>
      <c r="D35">
        <f t="shared" si="6"/>
        <v>25</v>
      </c>
      <c r="E35">
        <f t="shared" si="7"/>
        <v>24</v>
      </c>
      <c r="F35">
        <f t="shared" si="2"/>
        <v>367556.06415171124</v>
      </c>
      <c r="J35">
        <f t="shared" si="3"/>
        <v>-1</v>
      </c>
      <c r="K35">
        <f t="shared" si="4"/>
        <v>-1</v>
      </c>
      <c r="L35">
        <f t="shared" si="5"/>
        <v>367556.06415171124</v>
      </c>
    </row>
    <row r="36" spans="1:12" x14ac:dyDescent="0.2">
      <c r="A36" t="s">
        <v>22</v>
      </c>
      <c r="B36" t="s">
        <v>63</v>
      </c>
      <c r="C36">
        <v>320412.54256013694</v>
      </c>
      <c r="D36">
        <f t="shared" si="6"/>
        <v>25</v>
      </c>
      <c r="E36">
        <f t="shared" si="7"/>
        <v>23</v>
      </c>
      <c r="F36">
        <f t="shared" si="2"/>
        <v>320412.54256013694</v>
      </c>
      <c r="J36">
        <f t="shared" si="3"/>
        <v>-1</v>
      </c>
      <c r="K36">
        <f t="shared" si="4"/>
        <v>-1</v>
      </c>
      <c r="L36">
        <f t="shared" si="5"/>
        <v>320412.54256013694</v>
      </c>
    </row>
    <row r="37" spans="1:12" x14ac:dyDescent="0.2">
      <c r="A37" t="s">
        <v>63</v>
      </c>
      <c r="B37" t="s">
        <v>22</v>
      </c>
      <c r="C37">
        <v>320412.54256013694</v>
      </c>
      <c r="D37">
        <f t="shared" si="6"/>
        <v>23</v>
      </c>
      <c r="E37">
        <f t="shared" si="7"/>
        <v>25</v>
      </c>
      <c r="F37">
        <f t="shared" si="2"/>
        <v>320412.54256013694</v>
      </c>
      <c r="J37">
        <f t="shared" si="3"/>
        <v>23</v>
      </c>
      <c r="K37">
        <f t="shared" si="4"/>
        <v>25</v>
      </c>
      <c r="L37">
        <f t="shared" si="5"/>
        <v>320412.54256013694</v>
      </c>
    </row>
    <row r="38" spans="1:12" x14ac:dyDescent="0.2">
      <c r="A38" t="s">
        <v>63</v>
      </c>
      <c r="B38" t="s">
        <v>64</v>
      </c>
      <c r="C38">
        <v>442397.63206199097</v>
      </c>
      <c r="D38">
        <f t="shared" si="6"/>
        <v>23</v>
      </c>
      <c r="E38">
        <f t="shared" si="7"/>
        <v>21</v>
      </c>
      <c r="F38">
        <f t="shared" si="2"/>
        <v>442397.63206199097</v>
      </c>
      <c r="J38">
        <f t="shared" si="3"/>
        <v>-1</v>
      </c>
      <c r="K38">
        <f t="shared" si="4"/>
        <v>-1</v>
      </c>
      <c r="L38">
        <f t="shared" si="5"/>
        <v>442397.63206199097</v>
      </c>
    </row>
    <row r="39" spans="1:12" x14ac:dyDescent="0.2">
      <c r="A39" t="s">
        <v>63</v>
      </c>
      <c r="B39" t="s">
        <v>27</v>
      </c>
      <c r="C39">
        <v>545246.48047616647</v>
      </c>
      <c r="D39">
        <f t="shared" si="6"/>
        <v>23</v>
      </c>
      <c r="E39">
        <f t="shared" si="7"/>
        <v>20</v>
      </c>
      <c r="F39">
        <f t="shared" si="2"/>
        <v>545246.48047616647</v>
      </c>
      <c r="J39">
        <f t="shared" si="3"/>
        <v>-1</v>
      </c>
      <c r="K39">
        <f t="shared" si="4"/>
        <v>-1</v>
      </c>
      <c r="L39">
        <f t="shared" si="5"/>
        <v>545246.48047616647</v>
      </c>
    </row>
    <row r="40" spans="1:12" x14ac:dyDescent="0.2">
      <c r="A40" t="s">
        <v>27</v>
      </c>
      <c r="B40" t="s">
        <v>63</v>
      </c>
      <c r="C40">
        <v>545246.48047616647</v>
      </c>
      <c r="D40">
        <f t="shared" si="6"/>
        <v>20</v>
      </c>
      <c r="E40">
        <f t="shared" si="7"/>
        <v>23</v>
      </c>
      <c r="F40">
        <f t="shared" si="2"/>
        <v>545246.48047616647</v>
      </c>
      <c r="J40">
        <f t="shared" si="3"/>
        <v>20</v>
      </c>
      <c r="K40">
        <f t="shared" si="4"/>
        <v>23</v>
      </c>
      <c r="L40">
        <f t="shared" si="5"/>
        <v>545246.48047616647</v>
      </c>
    </row>
    <row r="41" spans="1:12" x14ac:dyDescent="0.2">
      <c r="A41" t="s">
        <v>27</v>
      </c>
      <c r="B41" t="s">
        <v>65</v>
      </c>
      <c r="C41">
        <v>809788.93060485192</v>
      </c>
      <c r="D41">
        <f t="shared" si="6"/>
        <v>20</v>
      </c>
      <c r="E41">
        <f t="shared" si="7"/>
        <v>19</v>
      </c>
      <c r="F41">
        <f t="shared" si="2"/>
        <v>809788.93060485192</v>
      </c>
      <c r="J41">
        <f t="shared" si="3"/>
        <v>-1</v>
      </c>
      <c r="K41">
        <f t="shared" si="4"/>
        <v>-1</v>
      </c>
      <c r="L41">
        <f t="shared" si="5"/>
        <v>809788.93060485192</v>
      </c>
    </row>
    <row r="42" spans="1:12" x14ac:dyDescent="0.2">
      <c r="A42" t="s">
        <v>27</v>
      </c>
      <c r="B42" t="s">
        <v>30</v>
      </c>
      <c r="C42">
        <v>516857.36985397292</v>
      </c>
      <c r="D42">
        <f t="shared" si="6"/>
        <v>20</v>
      </c>
      <c r="E42">
        <f t="shared" si="7"/>
        <v>16</v>
      </c>
      <c r="F42">
        <f t="shared" si="2"/>
        <v>516857.36985397292</v>
      </c>
      <c r="J42">
        <f t="shared" si="3"/>
        <v>-1</v>
      </c>
      <c r="K42">
        <f t="shared" si="4"/>
        <v>-1</v>
      </c>
      <c r="L42">
        <f t="shared" si="5"/>
        <v>516857.36985397292</v>
      </c>
    </row>
    <row r="43" spans="1:12" x14ac:dyDescent="0.2">
      <c r="A43" t="s">
        <v>30</v>
      </c>
      <c r="B43" t="s">
        <v>27</v>
      </c>
      <c r="C43">
        <v>516857.36985397292</v>
      </c>
      <c r="D43">
        <f t="shared" si="6"/>
        <v>16</v>
      </c>
      <c r="E43">
        <f t="shared" si="7"/>
        <v>20</v>
      </c>
      <c r="F43">
        <f t="shared" si="2"/>
        <v>516857.36985397292</v>
      </c>
      <c r="J43">
        <f t="shared" si="3"/>
        <v>16</v>
      </c>
      <c r="K43">
        <f t="shared" si="4"/>
        <v>20</v>
      </c>
      <c r="L43">
        <f t="shared" si="5"/>
        <v>516857.36985397292</v>
      </c>
    </row>
    <row r="44" spans="1:12" x14ac:dyDescent="0.2">
      <c r="A44" t="s">
        <v>30</v>
      </c>
      <c r="B44" t="s">
        <v>66</v>
      </c>
      <c r="C44">
        <v>355148.75201153534</v>
      </c>
      <c r="D44">
        <f t="shared" si="6"/>
        <v>16</v>
      </c>
      <c r="E44">
        <f t="shared" si="7"/>
        <v>17</v>
      </c>
      <c r="F44">
        <f t="shared" si="2"/>
        <v>355148.75201153534</v>
      </c>
      <c r="J44">
        <f t="shared" si="3"/>
        <v>16</v>
      </c>
      <c r="K44">
        <f t="shared" si="4"/>
        <v>17</v>
      </c>
      <c r="L44">
        <f t="shared" si="5"/>
        <v>355148.75201153534</v>
      </c>
    </row>
    <row r="45" spans="1:12" x14ac:dyDescent="0.2">
      <c r="A45" t="s">
        <v>30</v>
      </c>
      <c r="B45" t="s">
        <v>67</v>
      </c>
      <c r="C45">
        <v>255247.57031210975</v>
      </c>
      <c r="D45">
        <f t="shared" si="6"/>
        <v>16</v>
      </c>
      <c r="E45">
        <f t="shared" si="7"/>
        <v>15</v>
      </c>
      <c r="F45">
        <f t="shared" si="2"/>
        <v>255247.57031210975</v>
      </c>
      <c r="J45">
        <f t="shared" si="3"/>
        <v>-1</v>
      </c>
      <c r="K45">
        <f t="shared" si="4"/>
        <v>-1</v>
      </c>
      <c r="L45">
        <f t="shared" si="5"/>
        <v>255247.57031210975</v>
      </c>
    </row>
    <row r="46" spans="1:12" x14ac:dyDescent="0.2">
      <c r="A46" t="s">
        <v>30</v>
      </c>
      <c r="B46" t="s">
        <v>60</v>
      </c>
      <c r="C46">
        <v>504413.42710959999</v>
      </c>
      <c r="D46">
        <f t="shared" si="6"/>
        <v>16</v>
      </c>
      <c r="E46">
        <f t="shared" si="7"/>
        <v>14</v>
      </c>
      <c r="F46">
        <f t="shared" si="2"/>
        <v>504413.42710959999</v>
      </c>
      <c r="J46">
        <f t="shared" si="3"/>
        <v>-1</v>
      </c>
      <c r="K46">
        <f t="shared" si="4"/>
        <v>-1</v>
      </c>
      <c r="L46">
        <f t="shared" si="5"/>
        <v>504413.42710959999</v>
      </c>
    </row>
    <row r="47" spans="1:12" x14ac:dyDescent="0.2">
      <c r="A47" t="s">
        <v>30</v>
      </c>
      <c r="B47" t="s">
        <v>64</v>
      </c>
      <c r="C47">
        <v>281130.64655934245</v>
      </c>
      <c r="D47">
        <f t="shared" si="6"/>
        <v>16</v>
      </c>
      <c r="E47">
        <f t="shared" si="7"/>
        <v>21</v>
      </c>
      <c r="F47">
        <f t="shared" si="2"/>
        <v>281130.64655934245</v>
      </c>
      <c r="J47">
        <f t="shared" si="3"/>
        <v>16</v>
      </c>
      <c r="K47">
        <f t="shared" si="4"/>
        <v>21</v>
      </c>
      <c r="L47">
        <f t="shared" si="5"/>
        <v>281130.64655934245</v>
      </c>
    </row>
    <row r="48" spans="1:12" x14ac:dyDescent="0.2">
      <c r="A48" t="s">
        <v>64</v>
      </c>
      <c r="B48" t="s">
        <v>30</v>
      </c>
      <c r="C48">
        <v>281130.64655934245</v>
      </c>
      <c r="D48">
        <f t="shared" si="6"/>
        <v>21</v>
      </c>
      <c r="E48">
        <f t="shared" si="7"/>
        <v>16</v>
      </c>
      <c r="F48">
        <f t="shared" si="2"/>
        <v>281130.64655934245</v>
      </c>
      <c r="J48">
        <f t="shared" si="3"/>
        <v>-1</v>
      </c>
      <c r="K48">
        <f t="shared" si="4"/>
        <v>-1</v>
      </c>
      <c r="L48">
        <f t="shared" si="5"/>
        <v>281130.64655934245</v>
      </c>
    </row>
    <row r="49" spans="1:12" x14ac:dyDescent="0.2">
      <c r="A49" t="s">
        <v>64</v>
      </c>
      <c r="B49" t="s">
        <v>63</v>
      </c>
      <c r="C49">
        <v>442397.63206199097</v>
      </c>
      <c r="D49">
        <f t="shared" si="6"/>
        <v>21</v>
      </c>
      <c r="E49">
        <f t="shared" si="7"/>
        <v>23</v>
      </c>
      <c r="F49">
        <f t="shared" si="2"/>
        <v>442397.63206199097</v>
      </c>
      <c r="J49">
        <f t="shared" si="3"/>
        <v>21</v>
      </c>
      <c r="K49">
        <f t="shared" si="4"/>
        <v>23</v>
      </c>
      <c r="L49">
        <f t="shared" si="5"/>
        <v>442397.63206199097</v>
      </c>
    </row>
    <row r="50" spans="1:12" x14ac:dyDescent="0.2">
      <c r="A50" t="s">
        <v>64</v>
      </c>
      <c r="B50" t="s">
        <v>68</v>
      </c>
      <c r="C50">
        <v>250875.28135417341</v>
      </c>
      <c r="D50">
        <f t="shared" si="6"/>
        <v>21</v>
      </c>
      <c r="E50">
        <f t="shared" si="7"/>
        <v>22</v>
      </c>
      <c r="F50">
        <f t="shared" si="2"/>
        <v>250875.28135417341</v>
      </c>
      <c r="J50">
        <f t="shared" si="3"/>
        <v>21</v>
      </c>
      <c r="K50">
        <f t="shared" si="4"/>
        <v>22</v>
      </c>
      <c r="L50">
        <f t="shared" si="5"/>
        <v>250875.28135417341</v>
      </c>
    </row>
    <row r="51" spans="1:12" x14ac:dyDescent="0.2">
      <c r="A51" t="s">
        <v>68</v>
      </c>
      <c r="B51" t="s">
        <v>60</v>
      </c>
      <c r="C51">
        <v>355379.14919724764</v>
      </c>
      <c r="D51">
        <f t="shared" si="6"/>
        <v>22</v>
      </c>
      <c r="E51">
        <f t="shared" si="7"/>
        <v>14</v>
      </c>
      <c r="F51">
        <f t="shared" si="2"/>
        <v>355379.14919724764</v>
      </c>
      <c r="J51">
        <f t="shared" si="3"/>
        <v>-1</v>
      </c>
      <c r="K51">
        <f t="shared" si="4"/>
        <v>-1</v>
      </c>
      <c r="L51">
        <f t="shared" si="5"/>
        <v>355379.14919724764</v>
      </c>
    </row>
    <row r="52" spans="1:12" x14ac:dyDescent="0.2">
      <c r="A52" t="s">
        <v>68</v>
      </c>
      <c r="B52" t="s">
        <v>64</v>
      </c>
      <c r="C52">
        <v>250875.28135417341</v>
      </c>
      <c r="D52">
        <f t="shared" si="6"/>
        <v>22</v>
      </c>
      <c r="E52">
        <f t="shared" si="7"/>
        <v>21</v>
      </c>
      <c r="F52">
        <f t="shared" si="2"/>
        <v>250875.28135417341</v>
      </c>
      <c r="J52">
        <f t="shared" si="3"/>
        <v>-1</v>
      </c>
      <c r="K52">
        <f t="shared" si="4"/>
        <v>-1</v>
      </c>
      <c r="L52">
        <f t="shared" si="5"/>
        <v>250875.28135417341</v>
      </c>
    </row>
    <row r="53" spans="1:12" x14ac:dyDescent="0.2">
      <c r="A53" t="s">
        <v>68</v>
      </c>
      <c r="B53" t="s">
        <v>62</v>
      </c>
      <c r="C53">
        <v>267760.74079000804</v>
      </c>
      <c r="D53">
        <f t="shared" si="6"/>
        <v>22</v>
      </c>
      <c r="E53">
        <f t="shared" si="7"/>
        <v>24</v>
      </c>
      <c r="F53">
        <f t="shared" si="2"/>
        <v>267760.74079000804</v>
      </c>
      <c r="J53">
        <f t="shared" si="3"/>
        <v>22</v>
      </c>
      <c r="K53">
        <f t="shared" si="4"/>
        <v>24</v>
      </c>
      <c r="L53">
        <f t="shared" si="5"/>
        <v>267760.74079000804</v>
      </c>
    </row>
    <row r="54" spans="1:12" x14ac:dyDescent="0.2">
      <c r="A54" t="s">
        <v>62</v>
      </c>
      <c r="B54" t="s">
        <v>68</v>
      </c>
      <c r="C54">
        <v>267760.74079000804</v>
      </c>
      <c r="D54">
        <f t="shared" si="6"/>
        <v>24</v>
      </c>
      <c r="E54">
        <f t="shared" si="7"/>
        <v>22</v>
      </c>
      <c r="F54">
        <f t="shared" si="2"/>
        <v>267760.74079000804</v>
      </c>
      <c r="J54">
        <f t="shared" si="3"/>
        <v>-1</v>
      </c>
      <c r="K54">
        <f t="shared" si="4"/>
        <v>-1</v>
      </c>
      <c r="L54">
        <f t="shared" si="5"/>
        <v>267760.74079000804</v>
      </c>
    </row>
    <row r="55" spans="1:12" x14ac:dyDescent="0.2">
      <c r="A55" t="s">
        <v>62</v>
      </c>
      <c r="B55" t="s">
        <v>22</v>
      </c>
      <c r="C55">
        <v>367556.06415171124</v>
      </c>
      <c r="D55">
        <f t="shared" si="6"/>
        <v>24</v>
      </c>
      <c r="E55">
        <f t="shared" si="7"/>
        <v>25</v>
      </c>
      <c r="F55">
        <f t="shared" si="2"/>
        <v>367556.06415171124</v>
      </c>
      <c r="J55">
        <f t="shared" si="3"/>
        <v>24</v>
      </c>
      <c r="K55">
        <f t="shared" si="4"/>
        <v>25</v>
      </c>
      <c r="L55">
        <f t="shared" si="5"/>
        <v>367556.06415171124</v>
      </c>
    </row>
    <row r="56" spans="1:12" x14ac:dyDescent="0.2">
      <c r="A56" t="s">
        <v>62</v>
      </c>
      <c r="B56" t="s">
        <v>61</v>
      </c>
      <c r="C56">
        <v>516928.52361001045</v>
      </c>
      <c r="D56">
        <f t="shared" si="6"/>
        <v>24</v>
      </c>
      <c r="E56">
        <f t="shared" si="7"/>
        <v>27</v>
      </c>
      <c r="F56">
        <f t="shared" si="2"/>
        <v>516928.52361001045</v>
      </c>
      <c r="J56">
        <f t="shared" si="3"/>
        <v>24</v>
      </c>
      <c r="K56">
        <f t="shared" si="4"/>
        <v>27</v>
      </c>
      <c r="L56">
        <f t="shared" si="5"/>
        <v>516928.52361001045</v>
      </c>
    </row>
    <row r="57" spans="1:12" x14ac:dyDescent="0.2">
      <c r="A57" t="s">
        <v>60</v>
      </c>
      <c r="B57" t="s">
        <v>30</v>
      </c>
      <c r="C57">
        <v>504413.42710959999</v>
      </c>
      <c r="D57">
        <f t="shared" si="6"/>
        <v>14</v>
      </c>
      <c r="E57">
        <f t="shared" si="7"/>
        <v>16</v>
      </c>
      <c r="F57">
        <f t="shared" si="2"/>
        <v>504413.42710959999</v>
      </c>
      <c r="J57">
        <f t="shared" si="3"/>
        <v>14</v>
      </c>
      <c r="K57">
        <f t="shared" si="4"/>
        <v>16</v>
      </c>
      <c r="L57">
        <f t="shared" si="5"/>
        <v>504413.42710959999</v>
      </c>
    </row>
    <row r="58" spans="1:12" x14ac:dyDescent="0.2">
      <c r="A58" t="s">
        <v>60</v>
      </c>
      <c r="B58" t="s">
        <v>67</v>
      </c>
      <c r="C58">
        <v>612424.29626016889</v>
      </c>
      <c r="D58">
        <f t="shared" si="6"/>
        <v>14</v>
      </c>
      <c r="E58">
        <f t="shared" si="7"/>
        <v>15</v>
      </c>
      <c r="F58">
        <f t="shared" si="2"/>
        <v>612424.29626016889</v>
      </c>
      <c r="J58">
        <f t="shared" si="3"/>
        <v>14</v>
      </c>
      <c r="K58">
        <f t="shared" si="4"/>
        <v>15</v>
      </c>
      <c r="L58">
        <f t="shared" si="5"/>
        <v>612424.29626016889</v>
      </c>
    </row>
    <row r="59" spans="1:12" x14ac:dyDescent="0.2">
      <c r="A59" t="s">
        <v>60</v>
      </c>
      <c r="B59" t="s">
        <v>68</v>
      </c>
      <c r="C59">
        <v>355379.14919724764</v>
      </c>
      <c r="D59">
        <f t="shared" si="6"/>
        <v>14</v>
      </c>
      <c r="E59">
        <f t="shared" si="7"/>
        <v>22</v>
      </c>
      <c r="F59">
        <f t="shared" si="2"/>
        <v>355379.14919724764</v>
      </c>
      <c r="J59">
        <f t="shared" si="3"/>
        <v>14</v>
      </c>
      <c r="K59">
        <f t="shared" si="4"/>
        <v>22</v>
      </c>
      <c r="L59">
        <f t="shared" si="5"/>
        <v>355379.14919724764</v>
      </c>
    </row>
    <row r="60" spans="1:12" x14ac:dyDescent="0.2">
      <c r="A60" t="s">
        <v>60</v>
      </c>
      <c r="B60" t="s">
        <v>59</v>
      </c>
      <c r="C60">
        <v>348320.95962009777</v>
      </c>
      <c r="D60">
        <f t="shared" si="6"/>
        <v>14</v>
      </c>
      <c r="E60">
        <f t="shared" si="7"/>
        <v>13</v>
      </c>
      <c r="F60">
        <f t="shared" si="2"/>
        <v>348320.95962009777</v>
      </c>
      <c r="J60">
        <f t="shared" si="3"/>
        <v>-1</v>
      </c>
      <c r="K60">
        <f t="shared" si="4"/>
        <v>-1</v>
      </c>
      <c r="L60">
        <f t="shared" si="5"/>
        <v>348320.95962009777</v>
      </c>
    </row>
    <row r="61" spans="1:12" x14ac:dyDescent="0.2">
      <c r="A61" t="s">
        <v>54</v>
      </c>
      <c r="B61" t="s">
        <v>52</v>
      </c>
      <c r="C61">
        <v>397338.73684529081</v>
      </c>
      <c r="D61">
        <f t="shared" si="6"/>
        <v>7</v>
      </c>
      <c r="E61">
        <f t="shared" si="7"/>
        <v>5</v>
      </c>
      <c r="F61">
        <f t="shared" si="2"/>
        <v>397338.73684529081</v>
      </c>
      <c r="J61">
        <f t="shared" si="3"/>
        <v>-1</v>
      </c>
      <c r="K61">
        <f t="shared" si="4"/>
        <v>-1</v>
      </c>
      <c r="L61">
        <f t="shared" si="5"/>
        <v>397338.73684529081</v>
      </c>
    </row>
    <row r="62" spans="1:12" x14ac:dyDescent="0.2">
      <c r="A62" t="s">
        <v>54</v>
      </c>
      <c r="B62" t="s">
        <v>58</v>
      </c>
      <c r="C62">
        <v>145449.31012659316</v>
      </c>
      <c r="D62">
        <f t="shared" si="6"/>
        <v>7</v>
      </c>
      <c r="E62">
        <f t="shared" si="7"/>
        <v>8</v>
      </c>
      <c r="F62">
        <f t="shared" si="2"/>
        <v>145449.31012659316</v>
      </c>
      <c r="J62">
        <f t="shared" si="3"/>
        <v>7</v>
      </c>
      <c r="K62">
        <f t="shared" si="4"/>
        <v>8</v>
      </c>
      <c r="L62">
        <f t="shared" si="5"/>
        <v>145449.31012659316</v>
      </c>
    </row>
    <row r="63" spans="1:12" x14ac:dyDescent="0.2">
      <c r="A63" t="s">
        <v>54</v>
      </c>
      <c r="B63" t="s">
        <v>7</v>
      </c>
      <c r="C63">
        <v>183758.33997980371</v>
      </c>
      <c r="D63">
        <f t="shared" si="6"/>
        <v>7</v>
      </c>
      <c r="E63">
        <f t="shared" si="7"/>
        <v>6</v>
      </c>
      <c r="F63">
        <f t="shared" si="2"/>
        <v>183758.33997980371</v>
      </c>
      <c r="J63">
        <f t="shared" si="3"/>
        <v>-1</v>
      </c>
      <c r="K63">
        <f t="shared" si="4"/>
        <v>-1</v>
      </c>
      <c r="L63">
        <f t="shared" si="5"/>
        <v>183758.33997980371</v>
      </c>
    </row>
    <row r="64" spans="1:12" x14ac:dyDescent="0.2">
      <c r="A64" t="s">
        <v>7</v>
      </c>
      <c r="B64" t="s">
        <v>54</v>
      </c>
      <c r="C64">
        <v>183758.33997980371</v>
      </c>
      <c r="D64">
        <f t="shared" si="6"/>
        <v>6</v>
      </c>
      <c r="E64">
        <f t="shared" si="7"/>
        <v>7</v>
      </c>
      <c r="F64">
        <f t="shared" si="2"/>
        <v>183758.33997980371</v>
      </c>
      <c r="J64">
        <f t="shared" si="3"/>
        <v>6</v>
      </c>
      <c r="K64">
        <f t="shared" si="4"/>
        <v>7</v>
      </c>
      <c r="L64">
        <f t="shared" si="5"/>
        <v>183758.33997980371</v>
      </c>
    </row>
    <row r="65" spans="1:12" x14ac:dyDescent="0.2">
      <c r="A65" t="s">
        <v>7</v>
      </c>
      <c r="B65" t="s">
        <v>53</v>
      </c>
      <c r="C65">
        <v>316800.54941081034</v>
      </c>
      <c r="D65">
        <f t="shared" si="6"/>
        <v>6</v>
      </c>
      <c r="E65">
        <f t="shared" si="7"/>
        <v>4</v>
      </c>
      <c r="F65">
        <f t="shared" si="2"/>
        <v>316800.54941081034</v>
      </c>
      <c r="J65">
        <f t="shared" si="3"/>
        <v>-1</v>
      </c>
      <c r="K65">
        <f t="shared" si="4"/>
        <v>-1</v>
      </c>
      <c r="L65">
        <f t="shared" si="5"/>
        <v>316800.54941081034</v>
      </c>
    </row>
    <row r="66" spans="1:12" x14ac:dyDescent="0.2">
      <c r="A66" t="s">
        <v>53</v>
      </c>
      <c r="B66" t="s">
        <v>7</v>
      </c>
      <c r="C66">
        <v>316800.54941081034</v>
      </c>
      <c r="D66">
        <f t="shared" ref="D66:D79" si="8">VLOOKUP(A66,G$2:H$29,2,0)</f>
        <v>4</v>
      </c>
      <c r="E66">
        <f t="shared" ref="E66:E79" si="9">VLOOKUP(B66,G$2:H$29,2,0)</f>
        <v>6</v>
      </c>
      <c r="F66">
        <f t="shared" ref="F66:F79" si="10">C66</f>
        <v>316800.54941081034</v>
      </c>
      <c r="J66">
        <f t="shared" si="3"/>
        <v>4</v>
      </c>
      <c r="K66">
        <f t="shared" si="4"/>
        <v>6</v>
      </c>
      <c r="L66">
        <f t="shared" si="5"/>
        <v>316800.54941081034</v>
      </c>
    </row>
    <row r="67" spans="1:12" x14ac:dyDescent="0.2">
      <c r="A67" t="s">
        <v>53</v>
      </c>
      <c r="B67" t="s">
        <v>54</v>
      </c>
      <c r="C67">
        <v>351319.20890184876</v>
      </c>
      <c r="D67">
        <f t="shared" si="8"/>
        <v>4</v>
      </c>
      <c r="E67">
        <f t="shared" si="9"/>
        <v>7</v>
      </c>
      <c r="F67">
        <f t="shared" si="10"/>
        <v>351319.20890184876</v>
      </c>
      <c r="J67">
        <f t="shared" ref="J67:J79" si="11">IF(D67&lt;E67,D67,-1)</f>
        <v>4</v>
      </c>
      <c r="K67">
        <f t="shared" ref="K67:K79" si="12">IF(D67&lt;E67,E67,-1)</f>
        <v>7</v>
      </c>
      <c r="L67">
        <f t="shared" ref="L67:L79" si="13">F67</f>
        <v>351319.20890184876</v>
      </c>
    </row>
    <row r="68" spans="1:12" x14ac:dyDescent="0.2">
      <c r="A68" t="s">
        <v>50</v>
      </c>
      <c r="B68" t="s">
        <v>67</v>
      </c>
      <c r="C68">
        <v>365769.12677246617</v>
      </c>
      <c r="D68">
        <f t="shared" si="8"/>
        <v>3</v>
      </c>
      <c r="E68">
        <f t="shared" si="9"/>
        <v>15</v>
      </c>
      <c r="F68">
        <f t="shared" si="10"/>
        <v>365769.12677246617</v>
      </c>
      <c r="J68">
        <f t="shared" si="11"/>
        <v>3</v>
      </c>
      <c r="K68">
        <f t="shared" si="12"/>
        <v>15</v>
      </c>
      <c r="L68">
        <f t="shared" si="13"/>
        <v>365769.12677246617</v>
      </c>
    </row>
    <row r="69" spans="1:12" x14ac:dyDescent="0.2">
      <c r="A69" t="s">
        <v>50</v>
      </c>
      <c r="B69" t="s">
        <v>48</v>
      </c>
      <c r="C69">
        <v>710707.01542218647</v>
      </c>
      <c r="D69">
        <f t="shared" si="8"/>
        <v>3</v>
      </c>
      <c r="E69">
        <f t="shared" si="9"/>
        <v>0</v>
      </c>
      <c r="F69">
        <f t="shared" si="10"/>
        <v>710707.01542218647</v>
      </c>
      <c r="J69">
        <f t="shared" si="11"/>
        <v>-1</v>
      </c>
      <c r="K69">
        <f t="shared" si="12"/>
        <v>-1</v>
      </c>
      <c r="L69">
        <f t="shared" si="13"/>
        <v>710707.01542218647</v>
      </c>
    </row>
    <row r="70" spans="1:12" x14ac:dyDescent="0.2">
      <c r="A70" t="s">
        <v>50</v>
      </c>
      <c r="B70" t="s">
        <v>51</v>
      </c>
      <c r="C70">
        <v>357365.16517071368</v>
      </c>
      <c r="D70">
        <f t="shared" si="8"/>
        <v>3</v>
      </c>
      <c r="E70">
        <f t="shared" si="9"/>
        <v>2</v>
      </c>
      <c r="F70">
        <f t="shared" si="10"/>
        <v>357365.16517071368</v>
      </c>
      <c r="J70">
        <f t="shared" si="11"/>
        <v>-1</v>
      </c>
      <c r="K70">
        <f t="shared" si="12"/>
        <v>-1</v>
      </c>
      <c r="L70">
        <f t="shared" si="13"/>
        <v>357365.16517071368</v>
      </c>
    </row>
    <row r="71" spans="1:12" x14ac:dyDescent="0.2">
      <c r="A71" t="s">
        <v>67</v>
      </c>
      <c r="B71" t="s">
        <v>7</v>
      </c>
      <c r="C71">
        <v>392983.97158224147</v>
      </c>
      <c r="D71">
        <f t="shared" si="8"/>
        <v>15</v>
      </c>
      <c r="E71">
        <f t="shared" si="9"/>
        <v>6</v>
      </c>
      <c r="F71">
        <f t="shared" si="10"/>
        <v>392983.97158224147</v>
      </c>
      <c r="J71">
        <f t="shared" si="11"/>
        <v>-1</v>
      </c>
      <c r="K71">
        <f t="shared" si="12"/>
        <v>-1</v>
      </c>
      <c r="L71">
        <f t="shared" si="13"/>
        <v>392983.97158224147</v>
      </c>
    </row>
    <row r="72" spans="1:12" x14ac:dyDescent="0.2">
      <c r="A72" t="s">
        <v>67</v>
      </c>
      <c r="B72" t="s">
        <v>50</v>
      </c>
      <c r="C72">
        <v>365769.12677246617</v>
      </c>
      <c r="D72">
        <f t="shared" si="8"/>
        <v>15</v>
      </c>
      <c r="E72">
        <f t="shared" si="9"/>
        <v>3</v>
      </c>
      <c r="F72">
        <f t="shared" si="10"/>
        <v>365769.12677246617</v>
      </c>
      <c r="J72">
        <f t="shared" si="11"/>
        <v>-1</v>
      </c>
      <c r="K72">
        <f t="shared" si="12"/>
        <v>-1</v>
      </c>
      <c r="L72">
        <f t="shared" si="13"/>
        <v>365769.12677246617</v>
      </c>
    </row>
    <row r="73" spans="1:12" x14ac:dyDescent="0.2">
      <c r="A73" t="s">
        <v>67</v>
      </c>
      <c r="B73" t="s">
        <v>30</v>
      </c>
      <c r="C73">
        <v>255247.57031210975</v>
      </c>
      <c r="D73">
        <f t="shared" si="8"/>
        <v>15</v>
      </c>
      <c r="E73">
        <f t="shared" si="9"/>
        <v>16</v>
      </c>
      <c r="F73">
        <f t="shared" si="10"/>
        <v>255247.57031210975</v>
      </c>
      <c r="J73">
        <f t="shared" si="11"/>
        <v>15</v>
      </c>
      <c r="K73">
        <f t="shared" si="12"/>
        <v>16</v>
      </c>
      <c r="L73">
        <f t="shared" si="13"/>
        <v>255247.57031210975</v>
      </c>
    </row>
    <row r="74" spans="1:12" x14ac:dyDescent="0.2">
      <c r="A74" t="s">
        <v>69</v>
      </c>
      <c r="B74" t="s">
        <v>30</v>
      </c>
      <c r="C74">
        <v>355148.75201153534</v>
      </c>
      <c r="D74">
        <f t="shared" si="8"/>
        <v>17</v>
      </c>
      <c r="E74">
        <f t="shared" si="9"/>
        <v>16</v>
      </c>
      <c r="F74">
        <f t="shared" si="10"/>
        <v>355148.75201153534</v>
      </c>
      <c r="J74">
        <f t="shared" si="11"/>
        <v>-1</v>
      </c>
      <c r="K74">
        <f t="shared" si="12"/>
        <v>-1</v>
      </c>
      <c r="L74">
        <f t="shared" si="13"/>
        <v>355148.75201153534</v>
      </c>
    </row>
    <row r="75" spans="1:12" x14ac:dyDescent="0.2">
      <c r="A75" t="s">
        <v>69</v>
      </c>
      <c r="B75" t="s">
        <v>70</v>
      </c>
      <c r="C75">
        <v>483305.51241792896</v>
      </c>
      <c r="D75">
        <f t="shared" si="8"/>
        <v>17</v>
      </c>
      <c r="E75">
        <f t="shared" si="9"/>
        <v>18</v>
      </c>
      <c r="F75">
        <f t="shared" si="10"/>
        <v>483305.51241792896</v>
      </c>
      <c r="J75">
        <f t="shared" si="11"/>
        <v>17</v>
      </c>
      <c r="K75">
        <f t="shared" si="12"/>
        <v>18</v>
      </c>
      <c r="L75">
        <f t="shared" si="13"/>
        <v>483305.51241792896</v>
      </c>
    </row>
    <row r="76" spans="1:12" x14ac:dyDescent="0.2">
      <c r="A76" t="s">
        <v>70</v>
      </c>
      <c r="B76" t="s">
        <v>69</v>
      </c>
      <c r="C76">
        <v>483305.51241792896</v>
      </c>
      <c r="D76">
        <f t="shared" si="8"/>
        <v>18</v>
      </c>
      <c r="E76">
        <f t="shared" si="9"/>
        <v>17</v>
      </c>
      <c r="F76">
        <f t="shared" si="10"/>
        <v>483305.51241792896</v>
      </c>
      <c r="J76">
        <f t="shared" si="11"/>
        <v>-1</v>
      </c>
      <c r="K76">
        <f t="shared" si="12"/>
        <v>-1</v>
      </c>
      <c r="L76">
        <f t="shared" si="13"/>
        <v>483305.51241792896</v>
      </c>
    </row>
    <row r="77" spans="1:12" x14ac:dyDescent="0.2">
      <c r="A77" t="s">
        <v>70</v>
      </c>
      <c r="B77" t="s">
        <v>65</v>
      </c>
      <c r="C77">
        <v>416294.33872062818</v>
      </c>
      <c r="D77">
        <f t="shared" si="8"/>
        <v>18</v>
      </c>
      <c r="E77">
        <f t="shared" si="9"/>
        <v>19</v>
      </c>
      <c r="F77">
        <f t="shared" si="10"/>
        <v>416294.33872062818</v>
      </c>
      <c r="J77">
        <f t="shared" si="11"/>
        <v>18</v>
      </c>
      <c r="K77">
        <f t="shared" si="12"/>
        <v>19</v>
      </c>
      <c r="L77">
        <f t="shared" si="13"/>
        <v>416294.33872062818</v>
      </c>
    </row>
    <row r="78" spans="1:12" x14ac:dyDescent="0.2">
      <c r="A78" t="s">
        <v>65</v>
      </c>
      <c r="B78" t="s">
        <v>70</v>
      </c>
      <c r="C78">
        <v>416294.33872062818</v>
      </c>
      <c r="D78">
        <f t="shared" si="8"/>
        <v>19</v>
      </c>
      <c r="E78">
        <f t="shared" si="9"/>
        <v>18</v>
      </c>
      <c r="F78">
        <f t="shared" si="10"/>
        <v>416294.33872062818</v>
      </c>
      <c r="J78">
        <f t="shared" si="11"/>
        <v>-1</v>
      </c>
      <c r="K78">
        <f t="shared" si="12"/>
        <v>-1</v>
      </c>
      <c r="L78">
        <f t="shared" si="13"/>
        <v>416294.33872062818</v>
      </c>
    </row>
    <row r="79" spans="1:12" x14ac:dyDescent="0.2">
      <c r="A79" t="s">
        <v>65</v>
      </c>
      <c r="B79" t="s">
        <v>27</v>
      </c>
      <c r="C79">
        <v>809788.93060485192</v>
      </c>
      <c r="D79">
        <f t="shared" si="8"/>
        <v>19</v>
      </c>
      <c r="E79">
        <f t="shared" si="9"/>
        <v>20</v>
      </c>
      <c r="F79">
        <f t="shared" si="10"/>
        <v>809788.93060485192</v>
      </c>
      <c r="J79">
        <f t="shared" si="11"/>
        <v>19</v>
      </c>
      <c r="K79">
        <f t="shared" si="12"/>
        <v>20</v>
      </c>
      <c r="L79">
        <f t="shared" si="13"/>
        <v>809788.93060485192</v>
      </c>
    </row>
    <row r="80" spans="1:12" x14ac:dyDescent="0.2">
      <c r="A80" t="s">
        <v>60</v>
      </c>
      <c r="B80" t="s">
        <v>7</v>
      </c>
      <c r="C80">
        <v>304582.92129507259</v>
      </c>
      <c r="D80">
        <f t="shared" ref="D80:D82" si="14">VLOOKUP(A80,G$2:H$29,2,0)</f>
        <v>14</v>
      </c>
      <c r="E80">
        <f t="shared" ref="E80:E82" si="15">VLOOKUP(B80,G$2:H$29,2,0)</f>
        <v>6</v>
      </c>
      <c r="F80">
        <f t="shared" ref="F80:F82" si="16">C80</f>
        <v>304582.92129507259</v>
      </c>
      <c r="G80">
        <v>50.110923999999997</v>
      </c>
    </row>
    <row r="81" spans="1:7" x14ac:dyDescent="0.2">
      <c r="A81" t="s">
        <v>7</v>
      </c>
      <c r="B81" t="s">
        <v>67</v>
      </c>
      <c r="C81">
        <v>392983.97158224147</v>
      </c>
      <c r="D81">
        <f t="shared" si="14"/>
        <v>6</v>
      </c>
      <c r="E81">
        <f t="shared" si="15"/>
        <v>15</v>
      </c>
      <c r="F81">
        <f t="shared" si="16"/>
        <v>392983.97158224147</v>
      </c>
      <c r="G81">
        <v>53.551085999999998</v>
      </c>
    </row>
    <row r="82" spans="1:7" x14ac:dyDescent="0.2">
      <c r="A82" t="s">
        <v>53</v>
      </c>
      <c r="B82" t="s">
        <v>50</v>
      </c>
      <c r="C82">
        <v>173579.62340732224</v>
      </c>
      <c r="D82">
        <f t="shared" si="14"/>
        <v>4</v>
      </c>
      <c r="E82">
        <f t="shared" si="15"/>
        <v>3</v>
      </c>
      <c r="F82">
        <f t="shared" si="16"/>
        <v>173579.62340732224</v>
      </c>
      <c r="G82">
        <v>52.370215999999999</v>
      </c>
    </row>
  </sheetData>
  <sortState ref="G2:H29">
    <sortCondition ref="H2:H29"/>
  </sortState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opLeftCell="A4" workbookViewId="0">
      <selection activeCell="E19" sqref="E19"/>
    </sheetView>
  </sheetViews>
  <sheetFormatPr defaultRowHeight="14.25" x14ac:dyDescent="0.2"/>
  <sheetData>
    <row r="1" spans="1:3" x14ac:dyDescent="0.2">
      <c r="A1" t="s">
        <v>0</v>
      </c>
      <c r="B1" t="s">
        <v>72</v>
      </c>
      <c r="C1" t="s">
        <v>74</v>
      </c>
    </row>
    <row r="2" spans="1:3" x14ac:dyDescent="0.2">
      <c r="A2">
        <v>0</v>
      </c>
      <c r="B2">
        <v>1</v>
      </c>
      <c r="C2">
        <v>308032.65785887057</v>
      </c>
    </row>
    <row r="3" spans="1:3" x14ac:dyDescent="0.2">
      <c r="A3">
        <v>0</v>
      </c>
      <c r="B3">
        <v>3</v>
      </c>
      <c r="C3">
        <v>710707.01542218647</v>
      </c>
    </row>
    <row r="4" spans="1:3" x14ac:dyDescent="0.2">
      <c r="A4">
        <v>1</v>
      </c>
      <c r="B4">
        <v>2</v>
      </c>
      <c r="C4">
        <v>463317.29825375322</v>
      </c>
    </row>
    <row r="5" spans="1:3" x14ac:dyDescent="0.2">
      <c r="A5">
        <v>2</v>
      </c>
      <c r="B5">
        <v>3</v>
      </c>
      <c r="C5">
        <v>357365.16517071368</v>
      </c>
    </row>
    <row r="6" spans="1:3" x14ac:dyDescent="0.2">
      <c r="A6">
        <v>2</v>
      </c>
      <c r="B6">
        <v>5</v>
      </c>
      <c r="C6">
        <v>343549.6663231898</v>
      </c>
    </row>
    <row r="7" spans="1:3" x14ac:dyDescent="0.2">
      <c r="A7">
        <v>3</v>
      </c>
      <c r="B7">
        <v>15</v>
      </c>
      <c r="C7">
        <v>365769.12677246617</v>
      </c>
    </row>
    <row r="8" spans="1:3" x14ac:dyDescent="0.2">
      <c r="A8">
        <v>3</v>
      </c>
      <c r="B8">
        <v>4</v>
      </c>
      <c r="C8">
        <v>173579.62340732224</v>
      </c>
    </row>
    <row r="9" spans="1:3" x14ac:dyDescent="0.2">
      <c r="A9">
        <v>4</v>
      </c>
      <c r="B9">
        <v>6</v>
      </c>
      <c r="C9">
        <v>316800.54941081034</v>
      </c>
    </row>
    <row r="10" spans="1:3" x14ac:dyDescent="0.2">
      <c r="A10">
        <v>5</v>
      </c>
      <c r="B10">
        <v>7</v>
      </c>
      <c r="C10">
        <v>397338.73684529081</v>
      </c>
    </row>
    <row r="11" spans="1:3" x14ac:dyDescent="0.2">
      <c r="A11">
        <v>5</v>
      </c>
      <c r="B11">
        <v>10</v>
      </c>
      <c r="C11">
        <v>391494.03059081285</v>
      </c>
    </row>
    <row r="12" spans="1:3" x14ac:dyDescent="0.2">
      <c r="A12">
        <v>5</v>
      </c>
      <c r="B12">
        <v>9</v>
      </c>
      <c r="C12">
        <v>499300.49215458217</v>
      </c>
    </row>
    <row r="13" spans="1:3" x14ac:dyDescent="0.2">
      <c r="A13">
        <v>6</v>
      </c>
      <c r="B13">
        <v>7</v>
      </c>
      <c r="C13">
        <v>183758.33997980371</v>
      </c>
    </row>
    <row r="14" spans="1:3" x14ac:dyDescent="0.2">
      <c r="A14">
        <v>6</v>
      </c>
      <c r="B14">
        <v>14</v>
      </c>
      <c r="C14">
        <v>304582.92129507259</v>
      </c>
    </row>
    <row r="15" spans="1:3" x14ac:dyDescent="0.2">
      <c r="A15">
        <v>6</v>
      </c>
      <c r="B15">
        <v>15</v>
      </c>
      <c r="C15">
        <v>392983.97158224147</v>
      </c>
    </row>
    <row r="16" spans="1:3" x14ac:dyDescent="0.2">
      <c r="A16">
        <v>7</v>
      </c>
      <c r="B16">
        <v>8</v>
      </c>
      <c r="C16">
        <v>145449.31012659316</v>
      </c>
    </row>
    <row r="17" spans="1:3" x14ac:dyDescent="0.2">
      <c r="A17">
        <v>8</v>
      </c>
      <c r="B17">
        <v>10</v>
      </c>
      <c r="C17">
        <v>335235.60061095259</v>
      </c>
    </row>
    <row r="18" spans="1:3" x14ac:dyDescent="0.2">
      <c r="A18">
        <v>8</v>
      </c>
      <c r="B18">
        <v>13</v>
      </c>
      <c r="C18">
        <v>218407.06273686624</v>
      </c>
    </row>
    <row r="19" spans="1:3" x14ac:dyDescent="0.2">
      <c r="A19">
        <v>9</v>
      </c>
      <c r="B19">
        <v>11</v>
      </c>
      <c r="C19">
        <v>553979.97494564124</v>
      </c>
    </row>
    <row r="20" spans="1:3" x14ac:dyDescent="0.2">
      <c r="A20">
        <v>10</v>
      </c>
      <c r="B20">
        <v>12</v>
      </c>
      <c r="C20">
        <v>531977.90851259488</v>
      </c>
    </row>
    <row r="21" spans="1:3" x14ac:dyDescent="0.2">
      <c r="A21">
        <v>11</v>
      </c>
      <c r="B21">
        <v>12</v>
      </c>
      <c r="C21">
        <v>505443.23869067477</v>
      </c>
    </row>
    <row r="22" spans="1:3" x14ac:dyDescent="0.2">
      <c r="A22">
        <v>13</v>
      </c>
      <c r="B22">
        <v>14</v>
      </c>
      <c r="C22">
        <v>348320.95962009777</v>
      </c>
    </row>
    <row r="23" spans="1:3" x14ac:dyDescent="0.2">
      <c r="A23">
        <v>13</v>
      </c>
      <c r="B23">
        <v>27</v>
      </c>
      <c r="C23">
        <v>476886.17932344944</v>
      </c>
    </row>
    <row r="24" spans="1:3" x14ac:dyDescent="0.2">
      <c r="A24">
        <v>14</v>
      </c>
      <c r="B24">
        <v>16</v>
      </c>
      <c r="C24">
        <v>504413.42710959999</v>
      </c>
    </row>
    <row r="25" spans="1:3" x14ac:dyDescent="0.2">
      <c r="A25">
        <v>14</v>
      </c>
      <c r="B25">
        <v>22</v>
      </c>
      <c r="C25">
        <v>355379.14919724764</v>
      </c>
    </row>
    <row r="26" spans="1:3" x14ac:dyDescent="0.2">
      <c r="A26">
        <v>15</v>
      </c>
      <c r="B26">
        <v>16</v>
      </c>
      <c r="C26">
        <v>255247.57031210975</v>
      </c>
    </row>
    <row r="27" spans="1:3" x14ac:dyDescent="0.2">
      <c r="A27">
        <v>16</v>
      </c>
      <c r="B27">
        <v>20</v>
      </c>
      <c r="C27">
        <v>516857.36985397292</v>
      </c>
    </row>
    <row r="28" spans="1:3" x14ac:dyDescent="0.2">
      <c r="A28">
        <v>16</v>
      </c>
      <c r="B28">
        <v>17</v>
      </c>
      <c r="C28">
        <v>355148.75201153534</v>
      </c>
    </row>
    <row r="29" spans="1:3" x14ac:dyDescent="0.2">
      <c r="A29">
        <v>16</v>
      </c>
      <c r="B29">
        <v>21</v>
      </c>
      <c r="C29">
        <v>281130.64655934245</v>
      </c>
    </row>
    <row r="30" spans="1:3" x14ac:dyDescent="0.2">
      <c r="A30">
        <v>17</v>
      </c>
      <c r="B30">
        <v>18</v>
      </c>
      <c r="C30">
        <v>483305.51241792896</v>
      </c>
    </row>
    <row r="31" spans="1:3" x14ac:dyDescent="0.2">
      <c r="A31">
        <v>18</v>
      </c>
      <c r="B31">
        <v>19</v>
      </c>
      <c r="C31">
        <v>416294.33872062818</v>
      </c>
    </row>
    <row r="32" spans="1:3" x14ac:dyDescent="0.2">
      <c r="A32">
        <v>19</v>
      </c>
      <c r="B32">
        <v>20</v>
      </c>
      <c r="C32">
        <v>809788.93060485192</v>
      </c>
    </row>
    <row r="33" spans="1:3" x14ac:dyDescent="0.2">
      <c r="A33">
        <v>20</v>
      </c>
      <c r="B33">
        <v>23</v>
      </c>
      <c r="C33">
        <v>545246.48047616647</v>
      </c>
    </row>
    <row r="34" spans="1:3" x14ac:dyDescent="0.2">
      <c r="A34">
        <v>21</v>
      </c>
      <c r="B34">
        <v>23</v>
      </c>
      <c r="C34">
        <v>442397.63206199097</v>
      </c>
    </row>
    <row r="35" spans="1:3" x14ac:dyDescent="0.2">
      <c r="A35">
        <v>21</v>
      </c>
      <c r="B35">
        <v>22</v>
      </c>
      <c r="C35">
        <v>250875.28135417341</v>
      </c>
    </row>
    <row r="36" spans="1:3" x14ac:dyDescent="0.2">
      <c r="A36">
        <v>22</v>
      </c>
      <c r="B36">
        <v>24</v>
      </c>
      <c r="C36">
        <v>267760.74079000804</v>
      </c>
    </row>
    <row r="37" spans="1:3" x14ac:dyDescent="0.2">
      <c r="A37">
        <v>23</v>
      </c>
      <c r="B37">
        <v>25</v>
      </c>
      <c r="C37">
        <v>320412.54256013694</v>
      </c>
    </row>
    <row r="38" spans="1:3" x14ac:dyDescent="0.2">
      <c r="A38">
        <v>24</v>
      </c>
      <c r="B38">
        <v>25</v>
      </c>
      <c r="C38">
        <v>367556.06415171124</v>
      </c>
    </row>
    <row r="39" spans="1:3" x14ac:dyDescent="0.2">
      <c r="A39">
        <v>24</v>
      </c>
      <c r="B39">
        <v>27</v>
      </c>
      <c r="C39">
        <v>516928.52361001045</v>
      </c>
    </row>
    <row r="40" spans="1:3" x14ac:dyDescent="0.2">
      <c r="A40">
        <v>25</v>
      </c>
      <c r="B40">
        <v>26</v>
      </c>
      <c r="C40">
        <v>804180.14553588862</v>
      </c>
    </row>
    <row r="41" spans="1:3" x14ac:dyDescent="0.2">
      <c r="A41">
        <v>26</v>
      </c>
      <c r="B41">
        <v>27</v>
      </c>
      <c r="C41">
        <v>1050866.4805500184</v>
      </c>
    </row>
  </sheetData>
  <sortState ref="A2:C41">
    <sortCondition ref="A2:A4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</dc:creator>
  <cp:lastModifiedBy>chenxh97</cp:lastModifiedBy>
  <dcterms:created xsi:type="dcterms:W3CDTF">2015-06-05T18:19:34Z</dcterms:created>
  <dcterms:modified xsi:type="dcterms:W3CDTF">2020-10-26T15:20:59Z</dcterms:modified>
</cp:coreProperties>
</file>